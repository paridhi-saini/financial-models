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idhi/Library/Mobile Documents/com~apple~CloudDocs/modelling /"/>
    </mc:Choice>
  </mc:AlternateContent>
  <xr:revisionPtr revIDLastSave="0" documentId="13_ncr:1_{3DB5CBA4-7FD2-5741-9CAA-2F6FB68CCDCD}" xr6:coauthVersionLast="47" xr6:coauthVersionMax="47" xr10:uidLastSave="{00000000-0000-0000-0000-000000000000}"/>
  <bookViews>
    <workbookView xWindow="14460" yWindow="660" windowWidth="14940" windowHeight="16480" firstSheet="1" activeTab="2" xr2:uid="{70122CBF-671D-5A46-A8DA-D82B7338BF7D}"/>
  </bookViews>
  <sheets>
    <sheet name="Sheet1" sheetId="1" r:id="rId1"/>
    <sheet name="assumptions" sheetId="2" r:id="rId2"/>
    <sheet name="income statement" sheetId="3" r:id="rId3"/>
    <sheet name="Balance Sheet" sheetId="7" r:id="rId4"/>
    <sheet name="Cash Flow" sheetId="8" r:id="rId5"/>
    <sheet name="Debt Schedule" sheetId="4" r:id="rId6"/>
    <sheet name="Dep Capex Schedule" sheetId="5" r:id="rId7"/>
    <sheet name="Working Capital Schedule" sheetId="9" r:id="rId8"/>
  </sheets>
  <definedNames>
    <definedName name="Market_return">assumptions!#REF!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 s="1"/>
  <c r="J4" i="2" s="1"/>
  <c r="G4" i="2"/>
  <c r="J24" i="2"/>
  <c r="I24" i="2"/>
  <c r="H24" i="2"/>
  <c r="G24" i="2"/>
  <c r="F24" i="2"/>
  <c r="G25" i="2"/>
  <c r="H25" i="2"/>
  <c r="I25" i="2"/>
  <c r="J25" i="2"/>
  <c r="F25" i="2"/>
  <c r="G28" i="2"/>
  <c r="H28" i="2"/>
  <c r="I28" i="2"/>
  <c r="J28" i="2"/>
  <c r="F28" i="2"/>
  <c r="G31" i="8"/>
  <c r="H31" i="8" s="1"/>
  <c r="I31" i="8" s="1"/>
  <c r="J31" i="8" s="1"/>
  <c r="F31" i="8"/>
  <c r="G32" i="2"/>
  <c r="H32" i="2"/>
  <c r="I32" i="2"/>
  <c r="J32" i="2"/>
  <c r="F32" i="2"/>
  <c r="C32" i="2"/>
  <c r="E32" i="2"/>
  <c r="D32" i="2"/>
  <c r="G7" i="4"/>
  <c r="H7" i="4"/>
  <c r="I7" i="4"/>
  <c r="J7" i="4"/>
  <c r="F7" i="4"/>
  <c r="G15" i="2"/>
  <c r="H15" i="2"/>
  <c r="I15" i="2"/>
  <c r="J15" i="2"/>
  <c r="G8" i="4"/>
  <c r="H8" i="4"/>
  <c r="I8" i="4"/>
  <c r="J8" i="4"/>
  <c r="F8" i="4"/>
  <c r="E22" i="7"/>
  <c r="C30" i="8"/>
  <c r="F29" i="2"/>
  <c r="D26" i="8"/>
  <c r="E26" i="8"/>
  <c r="F26" i="8"/>
  <c r="G26" i="8"/>
  <c r="H26" i="8"/>
  <c r="I26" i="8"/>
  <c r="J26" i="8"/>
  <c r="C26" i="8"/>
  <c r="F24" i="8"/>
  <c r="G24" i="8"/>
  <c r="H24" i="8"/>
  <c r="I24" i="8"/>
  <c r="J24" i="8"/>
  <c r="C24" i="8"/>
  <c r="D24" i="8"/>
  <c r="E24" i="8"/>
  <c r="D29" i="8"/>
  <c r="E29" i="8"/>
  <c r="C29" i="8"/>
  <c r="D21" i="8"/>
  <c r="E21" i="8"/>
  <c r="F9" i="5"/>
  <c r="C18" i="9"/>
  <c r="D18" i="9"/>
  <c r="E18" i="9"/>
  <c r="C20" i="9"/>
  <c r="D20" i="9"/>
  <c r="E20" i="9"/>
  <c r="D17" i="9"/>
  <c r="E17" i="9"/>
  <c r="C17" i="9"/>
  <c r="D14" i="9"/>
  <c r="E14" i="9"/>
  <c r="C14" i="9"/>
  <c r="D10" i="9"/>
  <c r="E10" i="9"/>
  <c r="C10" i="9"/>
  <c r="D13" i="9"/>
  <c r="E13" i="9"/>
  <c r="C13" i="9"/>
  <c r="D9" i="9"/>
  <c r="E9" i="9"/>
  <c r="C9" i="9"/>
  <c r="D6" i="9"/>
  <c r="E6" i="9"/>
  <c r="C6" i="9"/>
  <c r="D5" i="9"/>
  <c r="E5" i="9"/>
  <c r="C5" i="9"/>
  <c r="C35" i="9"/>
  <c r="C32" i="9"/>
  <c r="C7" i="8"/>
  <c r="D7" i="8"/>
  <c r="E7" i="8"/>
  <c r="D4" i="5"/>
  <c r="E4" i="5"/>
  <c r="C4" i="5"/>
  <c r="E9" i="4"/>
  <c r="F6" i="4"/>
  <c r="F9" i="4" s="1"/>
  <c r="F21" i="7" s="1"/>
  <c r="F15" i="7"/>
  <c r="D15" i="7"/>
  <c r="E15" i="7"/>
  <c r="C15" i="7"/>
  <c r="D26" i="7"/>
  <c r="C26" i="7"/>
  <c r="E12" i="2"/>
  <c r="C12" i="2"/>
  <c r="D12" i="2"/>
  <c r="E15" i="2"/>
  <c r="C15" i="2"/>
  <c r="F15" i="2" s="1"/>
  <c r="D15" i="2"/>
  <c r="F8" i="7"/>
  <c r="F7" i="7"/>
  <c r="F6" i="7"/>
  <c r="C28" i="3"/>
  <c r="D28" i="3"/>
  <c r="E28" i="3"/>
  <c r="C22" i="7"/>
  <c r="C29" i="7" s="1"/>
  <c r="D22" i="7"/>
  <c r="D29" i="7" s="1"/>
  <c r="D10" i="7"/>
  <c r="D17" i="7" s="1"/>
  <c r="E10" i="7"/>
  <c r="E17" i="7" s="1"/>
  <c r="C10" i="7"/>
  <c r="C17" i="7" s="1"/>
  <c r="C29" i="3"/>
  <c r="D29" i="3"/>
  <c r="E29" i="3"/>
  <c r="G18" i="3"/>
  <c r="H18" i="3"/>
  <c r="I18" i="3"/>
  <c r="J18" i="3"/>
  <c r="F18" i="3"/>
  <c r="G9" i="2"/>
  <c r="H9" i="2"/>
  <c r="I9" i="2"/>
  <c r="J9" i="2"/>
  <c r="F9" i="2"/>
  <c r="D12" i="3"/>
  <c r="C7" i="2"/>
  <c r="D7" i="2"/>
  <c r="E7" i="2"/>
  <c r="D6" i="2"/>
  <c r="E6" i="2"/>
  <c r="C6" i="2"/>
  <c r="F5" i="3"/>
  <c r="E5" i="2"/>
  <c r="C5" i="2"/>
  <c r="C7" i="3"/>
  <c r="E7" i="3"/>
  <c r="C13" i="3"/>
  <c r="C12" i="3" s="1"/>
  <c r="G15" i="7" l="1"/>
  <c r="H15" i="7" s="1"/>
  <c r="I15" i="7" s="1"/>
  <c r="G8" i="7"/>
  <c r="H8" i="7" s="1"/>
  <c r="I8" i="7" s="1"/>
  <c r="F26" i="3"/>
  <c r="G26" i="3"/>
  <c r="H26" i="3"/>
  <c r="F4" i="5"/>
  <c r="F9" i="9"/>
  <c r="F27" i="3"/>
  <c r="F28" i="8"/>
  <c r="F29" i="8" s="1"/>
  <c r="G29" i="2"/>
  <c r="G28" i="8" s="1"/>
  <c r="G29" i="8" s="1"/>
  <c r="F17" i="8"/>
  <c r="F19" i="8" s="1"/>
  <c r="G7" i="7"/>
  <c r="F6" i="9"/>
  <c r="G6" i="7"/>
  <c r="F5" i="9"/>
  <c r="H29" i="2"/>
  <c r="G6" i="4"/>
  <c r="G9" i="4" s="1"/>
  <c r="F12" i="2"/>
  <c r="G7" i="2"/>
  <c r="J7" i="2"/>
  <c r="H7" i="2"/>
  <c r="I7" i="2"/>
  <c r="F7" i="2"/>
  <c r="F14" i="7" s="1"/>
  <c r="C8" i="3"/>
  <c r="C14" i="3"/>
  <c r="E8" i="3"/>
  <c r="E14" i="3"/>
  <c r="E19" i="3" s="1"/>
  <c r="E22" i="3" s="1"/>
  <c r="E23" i="3" s="1"/>
  <c r="F10" i="3"/>
  <c r="G5" i="3"/>
  <c r="G27" i="3" l="1"/>
  <c r="G17" i="8"/>
  <c r="G19" i="8" s="1"/>
  <c r="G14" i="7"/>
  <c r="H14" i="7" s="1"/>
  <c r="I14" i="7" s="1"/>
  <c r="J14" i="7" s="1"/>
  <c r="F18" i="7"/>
  <c r="F22" i="7" s="1"/>
  <c r="G12" i="2"/>
  <c r="H12" i="2" s="1"/>
  <c r="H17" i="8"/>
  <c r="H19" i="8" s="1"/>
  <c r="I29" i="2"/>
  <c r="H28" i="8"/>
  <c r="H29" i="8" s="1"/>
  <c r="G6" i="9"/>
  <c r="G9" i="8" s="1"/>
  <c r="G12" i="8" s="1"/>
  <c r="H7" i="7"/>
  <c r="F9" i="8"/>
  <c r="G5" i="9"/>
  <c r="G8" i="8" s="1"/>
  <c r="H6" i="7"/>
  <c r="F13" i="9"/>
  <c r="F17" i="9" s="1"/>
  <c r="F8" i="8"/>
  <c r="F12" i="8" s="1"/>
  <c r="G4" i="5"/>
  <c r="G9" i="9"/>
  <c r="H6" i="4"/>
  <c r="H9" i="4" s="1"/>
  <c r="J8" i="7"/>
  <c r="G18" i="7"/>
  <c r="J15" i="7"/>
  <c r="I12" i="2"/>
  <c r="C10" i="2"/>
  <c r="C19" i="3"/>
  <c r="G10" i="3"/>
  <c r="H5" i="3"/>
  <c r="J26" i="3" l="1"/>
  <c r="I26" i="3"/>
  <c r="I27" i="3"/>
  <c r="H27" i="3"/>
  <c r="J17" i="8"/>
  <c r="J19" i="8" s="1"/>
  <c r="I17" i="8"/>
  <c r="I19" i="8" s="1"/>
  <c r="J27" i="3"/>
  <c r="I28" i="8"/>
  <c r="I29" i="8" s="1"/>
  <c r="J29" i="2"/>
  <c r="J28" i="8" s="1"/>
  <c r="J29" i="8" s="1"/>
  <c r="G13" i="9"/>
  <c r="G17" i="9" s="1"/>
  <c r="H6" i="9"/>
  <c r="H9" i="8" s="1"/>
  <c r="I7" i="7"/>
  <c r="H5" i="9"/>
  <c r="H8" i="8" s="1"/>
  <c r="H12" i="8" s="1"/>
  <c r="I6" i="7"/>
  <c r="G22" i="7"/>
  <c r="H18" i="7"/>
  <c r="H9" i="9"/>
  <c r="H4" i="5"/>
  <c r="I6" i="4"/>
  <c r="I9" i="4" s="1"/>
  <c r="J12" i="2"/>
  <c r="C22" i="3"/>
  <c r="C11" i="2"/>
  <c r="H10" i="3"/>
  <c r="I5" i="3"/>
  <c r="H13" i="9" l="1"/>
  <c r="H17" i="9" s="1"/>
  <c r="I6" i="9"/>
  <c r="J7" i="7"/>
  <c r="J6" i="9" s="1"/>
  <c r="J6" i="7"/>
  <c r="J5" i="9" s="1"/>
  <c r="I5" i="9"/>
  <c r="I8" i="8" s="1"/>
  <c r="H22" i="7"/>
  <c r="I18" i="7"/>
  <c r="I9" i="9"/>
  <c r="I13" i="9" s="1"/>
  <c r="I17" i="9" s="1"/>
  <c r="I4" i="5"/>
  <c r="J6" i="4"/>
  <c r="J9" i="4" s="1"/>
  <c r="I10" i="3"/>
  <c r="J5" i="3"/>
  <c r="J8" i="8" l="1"/>
  <c r="I9" i="8"/>
  <c r="I12" i="8" s="1"/>
  <c r="J9" i="8"/>
  <c r="J12" i="8" s="1"/>
  <c r="I22" i="7"/>
  <c r="J18" i="7"/>
  <c r="J9" i="9"/>
  <c r="J13" i="9" s="1"/>
  <c r="J17" i="9" s="1"/>
  <c r="J4" i="5"/>
  <c r="J10" i="3"/>
  <c r="J22" i="7" l="1"/>
  <c r="D4" i="2"/>
  <c r="E4" i="2"/>
  <c r="D5" i="2"/>
  <c r="D7" i="3"/>
  <c r="D8" i="3" l="1"/>
  <c r="D14" i="3"/>
  <c r="D19" i="3" s="1"/>
  <c r="G5" i="2"/>
  <c r="G6" i="3" s="1"/>
  <c r="G10" i="9" s="1"/>
  <c r="J5" i="2"/>
  <c r="J6" i="3" s="1"/>
  <c r="J10" i="9" s="1"/>
  <c r="I5" i="2"/>
  <c r="I6" i="3" s="1"/>
  <c r="I10" i="9" s="1"/>
  <c r="F5" i="2"/>
  <c r="F6" i="3" s="1"/>
  <c r="F10" i="9" s="1"/>
  <c r="H5" i="2"/>
  <c r="H6" i="3" s="1"/>
  <c r="H10" i="9" s="1"/>
  <c r="G14" i="9" l="1"/>
  <c r="G18" i="9" s="1"/>
  <c r="J14" i="9"/>
  <c r="J18" i="9" s="1"/>
  <c r="I14" i="9"/>
  <c r="I18" i="9" s="1"/>
  <c r="F14" i="9"/>
  <c r="F18" i="9" s="1"/>
  <c r="H14" i="9"/>
  <c r="H18" i="9" s="1"/>
  <c r="D22" i="3"/>
  <c r="D23" i="3" s="1"/>
  <c r="D11" i="2"/>
  <c r="D15" i="3"/>
  <c r="D10" i="2"/>
  <c r="G11" i="3"/>
  <c r="G7" i="3"/>
  <c r="J11" i="3"/>
  <c r="J13" i="3" s="1"/>
  <c r="J7" i="3"/>
  <c r="I7" i="3"/>
  <c r="I11" i="3"/>
  <c r="F11" i="3"/>
  <c r="F7" i="3"/>
  <c r="H7" i="3"/>
  <c r="H11" i="3"/>
  <c r="G20" i="9" l="1"/>
  <c r="J20" i="9"/>
  <c r="I20" i="9"/>
  <c r="F20" i="9"/>
  <c r="H20" i="9"/>
  <c r="D8" i="2"/>
  <c r="D6" i="5"/>
  <c r="J14" i="3"/>
  <c r="J19" i="3" s="1"/>
  <c r="G8" i="3"/>
  <c r="J8" i="3"/>
  <c r="I8" i="3"/>
  <c r="F8" i="3"/>
  <c r="H8" i="3"/>
  <c r="D7" i="5" l="1"/>
  <c r="D11" i="5"/>
  <c r="D10" i="5" s="1"/>
  <c r="J21" i="3"/>
  <c r="J22" i="3" s="1"/>
  <c r="J24" i="3" s="1"/>
  <c r="J4" i="8" s="1"/>
  <c r="J29" i="3" l="1"/>
  <c r="J28" i="3"/>
  <c r="I13" i="3"/>
  <c r="I14" i="3" s="1"/>
  <c r="I19" i="3" s="1"/>
  <c r="G13" i="3"/>
  <c r="G14" i="3" s="1"/>
  <c r="G19" i="3" s="1"/>
  <c r="H13" i="3"/>
  <c r="H14" i="3" s="1"/>
  <c r="H19" i="3" s="1"/>
  <c r="E12" i="3"/>
  <c r="F13" i="3"/>
  <c r="F14" i="3" s="1"/>
  <c r="F19" i="3" s="1"/>
  <c r="E15" i="3"/>
  <c r="E10" i="2"/>
  <c r="G10" i="2" s="1"/>
  <c r="E8" i="2" l="1"/>
  <c r="E6" i="5"/>
  <c r="I21" i="3"/>
  <c r="I22" i="3" s="1"/>
  <c r="I24" i="3" s="1"/>
  <c r="I4" i="8" s="1"/>
  <c r="G21" i="3"/>
  <c r="G22" i="3" s="1"/>
  <c r="G24" i="3" s="1"/>
  <c r="G4" i="8" s="1"/>
  <c r="H21" i="3"/>
  <c r="H22" i="3" s="1"/>
  <c r="H24" i="3" s="1"/>
  <c r="H4" i="8" s="1"/>
  <c r="F21" i="3"/>
  <c r="F22" i="3" s="1"/>
  <c r="F24" i="3" s="1"/>
  <c r="H10" i="2"/>
  <c r="F4" i="8" l="1"/>
  <c r="F24" i="7"/>
  <c r="G24" i="7" s="1"/>
  <c r="H24" i="7" s="1"/>
  <c r="I24" i="7" s="1"/>
  <c r="J24" i="7" s="1"/>
  <c r="E7" i="5"/>
  <c r="E11" i="5"/>
  <c r="E10" i="5" s="1"/>
  <c r="I29" i="3"/>
  <c r="I28" i="3"/>
  <c r="G29" i="3"/>
  <c r="G28" i="3"/>
  <c r="H29" i="3"/>
  <c r="H28" i="3"/>
  <c r="F29" i="3"/>
  <c r="F28" i="3"/>
  <c r="I10" i="2"/>
  <c r="J10" i="2" l="1"/>
  <c r="C15" i="3"/>
  <c r="C8" i="2" l="1"/>
  <c r="J8" i="2" s="1"/>
  <c r="J7" i="5" s="1"/>
  <c r="J6" i="5" s="1"/>
  <c r="C6" i="5"/>
  <c r="J11" i="5"/>
  <c r="J15" i="3"/>
  <c r="J17" i="3" s="1"/>
  <c r="J5" i="8"/>
  <c r="J7" i="8" s="1"/>
  <c r="J13" i="8" s="1"/>
  <c r="G8" i="2"/>
  <c r="G7" i="5" s="1"/>
  <c r="G6" i="5" s="1"/>
  <c r="I8" i="2"/>
  <c r="I7" i="5" s="1"/>
  <c r="I6" i="5" s="1"/>
  <c r="F8" i="2"/>
  <c r="F7" i="5" s="1"/>
  <c r="F6" i="5" s="1"/>
  <c r="H8" i="2"/>
  <c r="H7" i="5" s="1"/>
  <c r="H6" i="5" s="1"/>
  <c r="C23" i="3"/>
  <c r="C7" i="5" l="1"/>
  <c r="C11" i="5"/>
  <c r="C10" i="5" s="1"/>
  <c r="G15" i="3"/>
  <c r="G17" i="3" s="1"/>
  <c r="G11" i="5"/>
  <c r="G5" i="8"/>
  <c r="G7" i="8" s="1"/>
  <c r="G13" i="8" s="1"/>
  <c r="I5" i="8"/>
  <c r="I7" i="8" s="1"/>
  <c r="I13" i="8" s="1"/>
  <c r="I15" i="3"/>
  <c r="I17" i="3" s="1"/>
  <c r="I11" i="5"/>
  <c r="F15" i="3"/>
  <c r="F17" i="3" s="1"/>
  <c r="F11" i="5"/>
  <c r="F5" i="8"/>
  <c r="F7" i="8" s="1"/>
  <c r="F13" i="8" s="1"/>
  <c r="H5" i="8"/>
  <c r="H7" i="8" s="1"/>
  <c r="H13" i="8" s="1"/>
  <c r="H11" i="5"/>
  <c r="H15" i="3"/>
  <c r="H17" i="3" s="1"/>
  <c r="E26" i="7" l="1"/>
  <c r="E29" i="7"/>
  <c r="F12" i="5" l="1"/>
  <c r="G9" i="5" l="1"/>
  <c r="G12" i="5" s="1"/>
  <c r="G14" i="8" s="1"/>
  <c r="G21" i="8" s="1"/>
  <c r="G30" i="8" s="1"/>
  <c r="F14" i="8"/>
  <c r="F21" i="8" s="1"/>
  <c r="F30" i="8" s="1"/>
  <c r="F5" i="7" s="1"/>
  <c r="F11" i="7"/>
  <c r="F16" i="7" s="1"/>
  <c r="G5" i="7" l="1"/>
  <c r="F10" i="7"/>
  <c r="F17" i="7" s="1"/>
  <c r="H9" i="5"/>
  <c r="H12" i="5" s="1"/>
  <c r="H14" i="8" s="1"/>
  <c r="H21" i="8" s="1"/>
  <c r="H30" i="8" s="1"/>
  <c r="G11" i="7"/>
  <c r="G16" i="7" s="1"/>
  <c r="H5" i="7" l="1"/>
  <c r="G10" i="7"/>
  <c r="G17" i="7" s="1"/>
  <c r="I9" i="5"/>
  <c r="I12" i="5" s="1"/>
  <c r="I14" i="8" s="1"/>
  <c r="I21" i="8" s="1"/>
  <c r="I30" i="8" s="1"/>
  <c r="H11" i="7"/>
  <c r="H16" i="7" s="1"/>
  <c r="I5" i="7" l="1"/>
  <c r="H10" i="7"/>
  <c r="H17" i="7" s="1"/>
  <c r="J9" i="5"/>
  <c r="J12" i="5" s="1"/>
  <c r="I11" i="7"/>
  <c r="I16" i="7" s="1"/>
  <c r="J11" i="7" l="1"/>
  <c r="J16" i="7" s="1"/>
  <c r="J14" i="8"/>
  <c r="J21" i="8" s="1"/>
  <c r="J30" i="8" s="1"/>
  <c r="J5" i="7" s="1"/>
  <c r="J10" i="7" s="1"/>
  <c r="I10" i="7"/>
  <c r="I17" i="7" s="1"/>
  <c r="J17" i="7" l="1"/>
  <c r="J26" i="7" s="1"/>
  <c r="J28" i="7" s="1"/>
  <c r="J29" i="7" s="1"/>
  <c r="G26" i="7"/>
  <c r="G28" i="7" s="1"/>
  <c r="G29" i="7" s="1"/>
  <c r="H26" i="7"/>
  <c r="H28" i="7" s="1"/>
  <c r="H29" i="7" s="1"/>
  <c r="F26" i="7"/>
  <c r="F28" i="7" s="1"/>
  <c r="F29" i="7" s="1"/>
  <c r="I26" i="7"/>
  <c r="I28" i="7" s="1"/>
  <c r="I29" i="7" s="1"/>
</calcChain>
</file>

<file path=xl/sharedStrings.xml><?xml version="1.0" encoding="utf-8"?>
<sst xmlns="http://schemas.openxmlformats.org/spreadsheetml/2006/main" count="311" uniqueCount="143">
  <si>
    <t>2023A</t>
  </si>
  <si>
    <t>2024A</t>
  </si>
  <si>
    <t>2025A</t>
  </si>
  <si>
    <t>2026E</t>
  </si>
  <si>
    <t>2027E</t>
  </si>
  <si>
    <t>2028E</t>
  </si>
  <si>
    <t>2029E</t>
  </si>
  <si>
    <t>2030E</t>
  </si>
  <si>
    <t>($mm)</t>
  </si>
  <si>
    <t>Financial Year</t>
  </si>
  <si>
    <t>Revenue</t>
  </si>
  <si>
    <t>Cost Of Goods Sold</t>
  </si>
  <si>
    <t>Gross Profit</t>
  </si>
  <si>
    <t>Research And Development Expenses</t>
  </si>
  <si>
    <t>SG&amp;A Expenses</t>
  </si>
  <si>
    <t>-</t>
  </si>
  <si>
    <t>Operating Expenses</t>
  </si>
  <si>
    <t>Total Non-Operating Income/Expense</t>
  </si>
  <si>
    <t>Income Taxes</t>
  </si>
  <si>
    <t>Income After Taxes</t>
  </si>
  <si>
    <t>Income From Discontinued Operations</t>
  </si>
  <si>
    <t>Net Income</t>
  </si>
  <si>
    <t>EBITDA</t>
  </si>
  <si>
    <t>Basic Shares Outstanding</t>
  </si>
  <si>
    <t>Shares Outstanding</t>
  </si>
  <si>
    <t>Basic EPS</t>
  </si>
  <si>
    <t>EPS - Earnings Per Share</t>
  </si>
  <si>
    <t>TESLA, INC. — KEY ASSUMPTIONS</t>
  </si>
  <si>
    <t>Revenue Growth Rate</t>
  </si>
  <si>
    <t>Shares Outstanding ($mm)</t>
  </si>
  <si>
    <t>Net Debt ($mm)</t>
  </si>
  <si>
    <t>COGS % of Sales</t>
  </si>
  <si>
    <t>SG&amp;A (Fixed)</t>
  </si>
  <si>
    <t>Dep % of Sales</t>
  </si>
  <si>
    <t>Tax Rate %</t>
  </si>
  <si>
    <t>EBIT MARGIN %</t>
  </si>
  <si>
    <t>Gross Profit Margin %</t>
  </si>
  <si>
    <t>EBIT (Operating Income)</t>
  </si>
  <si>
    <t xml:space="preserve">Other Expense </t>
  </si>
  <si>
    <t>Depreciation and Amortization</t>
  </si>
  <si>
    <t>Pre-Tax Income (EBT)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</si>
  <si>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</si>
  <si>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</si>
  <si>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</si>
  <si>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</si>
  <si>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</si>
  <si>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</si>
  <si>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</si>
  <si>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</si>
  <si>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</si>
  <si>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</si>
  <si>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</si>
  <si>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</si>
  <si>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</si>
  <si>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</si>
  <si>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</si>
  <si>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</si>
  <si>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</si>
  <si>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</si>
  <si>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</si>
  <si>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</si>
  <si>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</si>
  <si>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</si>
  <si>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</si>
  <si>
    <t>debt</t>
  </si>
  <si>
    <t>repayment each year</t>
  </si>
  <si>
    <t>issuance each year</t>
  </si>
  <si>
    <t>term loan interest rate</t>
  </si>
  <si>
    <t>interest rate earned on cash deposit</t>
  </si>
  <si>
    <t>Receivables collection period (365/receivables turnover)</t>
  </si>
  <si>
    <t>Inventory processing period (365/inventory turnover)</t>
  </si>
  <si>
    <t>goodwill</t>
  </si>
  <si>
    <t>constant</t>
  </si>
  <si>
    <t>current liabilities (% of debt)</t>
  </si>
  <si>
    <t>Additional Paid-In Capital</t>
  </si>
  <si>
    <t>Other / Unspecified Long-Term Assets</t>
  </si>
  <si>
    <t>Term Loan</t>
  </si>
  <si>
    <t>Beginning Balance</t>
  </si>
  <si>
    <t>Issuance</t>
  </si>
  <si>
    <t>(Repayment/ Amortization)</t>
  </si>
  <si>
    <t>Ending Balance</t>
  </si>
  <si>
    <t>Interest Expense Calculation</t>
  </si>
  <si>
    <t>Average Oustanding</t>
  </si>
  <si>
    <t>Interest Rate</t>
  </si>
  <si>
    <t>Interest Expense</t>
  </si>
  <si>
    <t>Interest Income Calculation</t>
  </si>
  <si>
    <t>Cash &amp; Cash Equivalents</t>
  </si>
  <si>
    <t>Effective Cash Interest Rate:</t>
  </si>
  <si>
    <t xml:space="preserve">Interest Income </t>
  </si>
  <si>
    <t>Debt and Interest schedule</t>
  </si>
  <si>
    <t>Net Income/Loss</t>
  </si>
  <si>
    <t>Total Depreciation And Amortization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</si>
  <si>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</si>
  <si>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</si>
  <si>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</si>
  <si>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</si>
  <si>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</si>
  <si>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</si>
  <si>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</si>
  <si>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</si>
  <si>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</si>
  <si>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</si>
  <si>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</si>
  <si>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</si>
  <si>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</si>
  <si>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</si>
  <si>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</si>
  <si>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</si>
  <si>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</si>
  <si>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</si>
  <si>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</si>
  <si>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</si>
  <si>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</si>
  <si>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</si>
  <si>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</si>
  <si>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</si>
  <si>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</si>
  <si>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</si>
  <si>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</si>
  <si>
    <t>INCOME STATEMENT</t>
  </si>
  <si>
    <t>BALANCE SHEET</t>
  </si>
  <si>
    <t>CASH FLOW STATEMENT</t>
  </si>
  <si>
    <t>Depreciation</t>
  </si>
  <si>
    <t>Depreciation as % of Revenue</t>
  </si>
  <si>
    <t>Beginning PP&amp;E</t>
  </si>
  <si>
    <t>Capital Expenditure</t>
  </si>
  <si>
    <t>Net PPE</t>
  </si>
  <si>
    <t>Working Capital Balances</t>
  </si>
  <si>
    <t>Accounts Receivables</t>
  </si>
  <si>
    <t>Total Revenues</t>
  </si>
  <si>
    <t>Operating Costs</t>
  </si>
  <si>
    <t xml:space="preserve">Turnover Ratios </t>
  </si>
  <si>
    <t>Receivables turnover = (Sales / Accounts Receivables)</t>
  </si>
  <si>
    <t>days</t>
  </si>
  <si>
    <t>Inventory turnover (COGS / Inventory)</t>
  </si>
  <si>
    <t>Cash Collection Cycle</t>
  </si>
  <si>
    <t>Increase?</t>
  </si>
  <si>
    <t>cash outflow</t>
  </si>
  <si>
    <t>10 -&gt; 20</t>
  </si>
  <si>
    <t xml:space="preserve"> </t>
  </si>
  <si>
    <t>10 -&gt; 5</t>
  </si>
  <si>
    <t>cash inflows</t>
  </si>
  <si>
    <t>Stock-Based Compensation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</si>
</sst>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0.0%"/>
    <numFmt numFmtId="166" formatCode="#,##0.0_);\(#,##0.0\)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"/>
      <family val="2"/>
    </font>
    <font>
      <b/>
      <sz val="14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theme="1"/>
      <name val="Helvetica"/>
      <family val="2"/>
    </font>
    <font>
      <sz val="12"/>
      <color rgb="FF171717"/>
      <name val="Helvetica"/>
      <family val="2"/>
    </font>
    <font>
      <sz val="12"/>
      <color rgb="FF008456"/>
      <name val="Helvetica"/>
      <family val="2"/>
    </font>
    <font>
      <sz val="11"/>
      <color theme="1"/>
      <name val="Helvetica"/>
      <family val="2"/>
    </font>
    <font>
      <b/>
      <sz val="11"/>
      <color rgb="FF0BA1A1"/>
      <name val="Arial"/>
      <family val="2"/>
    </font>
    <font>
      <sz val="11"/>
      <color rgb="FF000000"/>
      <name val="Arial"/>
      <family val="2"/>
    </font>
    <font>
      <b/>
      <sz val="11"/>
      <color theme="1" tint="0.249977111117893"/>
      <name val="Arial"/>
      <family val="2"/>
    </font>
    <font>
      <b/>
      <sz val="11"/>
      <color rgb="FF000000"/>
      <name val="Arial"/>
      <family val="2"/>
    </font>
    <font>
      <sz val="11"/>
      <color rgb="FF7F7F7F"/>
      <name val="Calibri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009600"/>
      <name val="Arial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009600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 tint="0.499984740745262"/>
      <name val="Arial"/>
      <family val="2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b/>
      <u/>
      <sz val="11"/>
      <color rgb="FF00000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7D0CB"/>
        <bgColor indexed="64"/>
      </patternFill>
    </fill>
    <fill>
      <patternFill patternType="solid">
        <fgColor rgb="FFF7D6E1"/>
        <bgColor indexed="64"/>
      </patternFill>
    </fill>
    <fill>
      <patternFill patternType="solid">
        <fgColor rgb="FFA09EDD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6" fillId="0" borderId="1">
      <protection locked="0"/>
    </xf>
  </cellStyleXfs>
  <cellXfs count="102">
    <xf numFmtId="0" fontId="0" fillId="0" borderId="0" xfId="0"/>
    <xf numFmtId="0" fontId="4" fillId="2" borderId="0" xfId="0" applyFont="1" applyFill="1"/>
    <xf numFmtId="0" fontId="5" fillId="0" borderId="0" xfId="0" applyFont="1"/>
    <xf numFmtId="0" fontId="3" fillId="0" borderId="0" xfId="0" applyFont="1"/>
    <xf numFmtId="0" fontId="6" fillId="2" borderId="0" xfId="0" applyFont="1" applyFill="1" applyAlignment="1">
      <alignment horizontal="center"/>
    </xf>
    <xf numFmtId="0" fontId="0" fillId="2" borderId="0" xfId="0" applyFill="1"/>
    <xf numFmtId="0" fontId="7" fillId="0" borderId="0" xfId="0" applyFont="1" applyAlignment="1">
      <alignment vertical="center" wrapText="1" readingOrder="1"/>
    </xf>
    <xf numFmtId="9" fontId="0" fillId="0" borderId="0" xfId="1" applyFont="1"/>
    <xf numFmtId="39" fontId="0" fillId="0" borderId="0" xfId="0" applyNumberFormat="1"/>
    <xf numFmtId="0" fontId="0" fillId="3" borderId="0" xfId="0" applyFill="1"/>
    <xf numFmtId="0" fontId="3" fillId="3" borderId="0" xfId="0" applyFont="1" applyFill="1"/>
    <xf numFmtId="9" fontId="3" fillId="0" borderId="0" xfId="1" applyFont="1"/>
    <xf numFmtId="2" fontId="0" fillId="0" borderId="0" xfId="0" applyNumberFormat="1"/>
    <xf numFmtId="2" fontId="5" fillId="0" borderId="0" xfId="0" applyNumberFormat="1" applyFont="1"/>
    <xf numFmtId="2" fontId="3" fillId="3" borderId="0" xfId="0" applyNumberFormat="1" applyFont="1" applyFill="1"/>
    <xf numFmtId="2" fontId="3" fillId="0" borderId="0" xfId="0" applyNumberFormat="1" applyFont="1"/>
    <xf numFmtId="2" fontId="3" fillId="0" borderId="0" xfId="1" applyNumberFormat="1" applyFont="1"/>
    <xf numFmtId="2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9" fontId="7" fillId="0" borderId="0" xfId="1" applyFont="1" applyAlignment="1">
      <alignment vertical="center" wrapText="1" readingOrder="1"/>
    </xf>
    <xf numFmtId="9" fontId="10" fillId="0" borderId="0" xfId="1" applyFont="1"/>
    <xf numFmtId="10" fontId="9" fillId="0" borderId="0" xfId="1" applyNumberFormat="1" applyFont="1"/>
    <xf numFmtId="10" fontId="11" fillId="0" borderId="0" xfId="0" applyNumberFormat="1" applyFont="1"/>
    <xf numFmtId="10" fontId="7" fillId="0" borderId="0" xfId="0" applyNumberFormat="1" applyFont="1" applyAlignment="1">
      <alignment vertical="center" wrapText="1" readingOrder="1"/>
    </xf>
    <xf numFmtId="2" fontId="4" fillId="2" borderId="0" xfId="0" applyNumberFormat="1" applyFont="1" applyFill="1"/>
    <xf numFmtId="2" fontId="3" fillId="4" borderId="0" xfId="0" applyNumberFormat="1" applyFont="1" applyFill="1"/>
    <xf numFmtId="0" fontId="3" fillId="4" borderId="0" xfId="0" applyFont="1" applyFill="1"/>
    <xf numFmtId="2" fontId="0" fillId="3" borderId="0" xfId="0" applyNumberFormat="1" applyFill="1"/>
    <xf numFmtId="37" fontId="0" fillId="0" borderId="0" xfId="0" applyNumberFormat="1"/>
    <xf numFmtId="37" fontId="3" fillId="0" borderId="0" xfId="0" applyNumberFormat="1" applyFont="1"/>
    <xf numFmtId="37" fontId="4" fillId="2" borderId="0" xfId="0" applyNumberFormat="1" applyFont="1" applyFill="1"/>
    <xf numFmtId="37" fontId="5" fillId="0" borderId="0" xfId="0" applyNumberFormat="1" applyFont="1"/>
    <xf numFmtId="37" fontId="3" fillId="4" borderId="0" xfId="0" applyNumberFormat="1" applyFont="1" applyFill="1"/>
    <xf numFmtId="37" fontId="8" fillId="4" borderId="0" xfId="0" applyNumberFormat="1" applyFont="1" applyFill="1"/>
    <xf numFmtId="37" fontId="3" fillId="0" borderId="0" xfId="1" applyNumberFormat="1" applyFont="1"/>
    <xf numFmtId="37" fontId="8" fillId="0" borderId="0" xfId="1" applyNumberFormat="1" applyFont="1"/>
    <xf numFmtId="37" fontId="3" fillId="3" borderId="0" xfId="0" applyNumberFormat="1" applyFont="1" applyFill="1"/>
    <xf numFmtId="37" fontId="8" fillId="3" borderId="0" xfId="0" applyNumberFormat="1" applyFont="1" applyFill="1"/>
    <xf numFmtId="37" fontId="0" fillId="3" borderId="0" xfId="0" applyNumberFormat="1" applyFill="1"/>
    <xf numFmtId="37" fontId="5" fillId="3" borderId="0" xfId="0" applyNumberFormat="1" applyFont="1" applyFill="1"/>
    <xf numFmtId="37" fontId="8" fillId="0" borderId="0" xfId="0" applyNumberFormat="1" applyFont="1"/>
    <xf numFmtId="37" fontId="0" fillId="4" borderId="0" xfId="0" applyNumberFormat="1" applyFill="1"/>
    <xf numFmtId="37" fontId="5" fillId="4" borderId="0" xfId="0" applyNumberFormat="1" applyFont="1" applyFill="1"/>
    <xf numFmtId="2" fontId="0" fillId="4" borderId="0" xfId="0" applyNumberFormat="1" applyFill="1"/>
    <xf numFmtId="0" fontId="0" fillId="4" borderId="0" xfId="0" applyFill="1"/>
    <xf numFmtId="37" fontId="3" fillId="6" borderId="0" xfId="0" applyNumberFormat="1" applyFont="1" applyFill="1"/>
    <xf numFmtId="37" fontId="8" fillId="6" borderId="0" xfId="0" applyNumberFormat="1" applyFont="1" applyFill="1"/>
    <xf numFmtId="0" fontId="3" fillId="6" borderId="0" xfId="0" applyFont="1" applyFill="1"/>
    <xf numFmtId="37" fontId="2" fillId="2" borderId="0" xfId="0" applyNumberFormat="1" applyFont="1" applyFill="1"/>
    <xf numFmtId="2" fontId="2" fillId="2" borderId="0" xfId="0" applyNumberFormat="1" applyFont="1" applyFill="1"/>
    <xf numFmtId="0" fontId="2" fillId="2" borderId="0" xfId="0" applyFont="1" applyFill="1"/>
    <xf numFmtId="37" fontId="3" fillId="5" borderId="0" xfId="0" applyNumberFormat="1" applyFont="1" applyFill="1"/>
    <xf numFmtId="37" fontId="8" fillId="5" borderId="0" xfId="0" applyNumberFormat="1" applyFont="1" applyFill="1"/>
    <xf numFmtId="0" fontId="3" fillId="5" borderId="0" xfId="0" applyFont="1" applyFill="1"/>
    <xf numFmtId="0" fontId="13" fillId="0" borderId="0" xfId="0" applyFont="1"/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/>
    <xf numFmtId="164" fontId="17" fillId="0" borderId="0" xfId="2" applyFont="1" applyBorder="1" applyAlignment="1" applyProtection="1">
      <alignment horizontal="right" vertical="center"/>
    </xf>
    <xf numFmtId="164" fontId="18" fillId="0" borderId="0" xfId="2" applyFont="1" applyBorder="1" applyAlignment="1" applyProtection="1">
      <alignment horizontal="right" vertical="center"/>
    </xf>
    <xf numFmtId="0" fontId="15" fillId="0" borderId="2" xfId="0" applyFont="1" applyBorder="1"/>
    <xf numFmtId="164" fontId="19" fillId="0" borderId="2" xfId="2" applyFont="1" applyBorder="1" applyAlignment="1" applyProtection="1">
      <alignment horizontal="right" vertical="center"/>
    </xf>
    <xf numFmtId="164" fontId="20" fillId="0" borderId="2" xfId="2" applyFont="1" applyBorder="1" applyAlignment="1" applyProtection="1">
      <alignment horizontal="right" vertical="center"/>
    </xf>
    <xf numFmtId="165" fontId="18" fillId="0" borderId="0" xfId="1" applyNumberFormat="1" applyFont="1" applyAlignment="1" applyProtection="1">
      <alignment horizontal="right" vertical="center"/>
    </xf>
    <xf numFmtId="0" fontId="3" fillId="2" borderId="0" xfId="0" applyFont="1" applyFill="1"/>
    <xf numFmtId="0" fontId="21" fillId="2" borderId="0" xfId="0" applyFont="1" applyFill="1"/>
    <xf numFmtId="0" fontId="22" fillId="7" borderId="0" xfId="0" applyFont="1" applyFill="1"/>
    <xf numFmtId="0" fontId="23" fillId="7" borderId="0" xfId="0" applyFont="1" applyFill="1"/>
    <xf numFmtId="37" fontId="3" fillId="8" borderId="0" xfId="0" applyNumberFormat="1" applyFont="1" applyFill="1"/>
    <xf numFmtId="37" fontId="8" fillId="8" borderId="0" xfId="0" applyNumberFormat="1" applyFont="1" applyFill="1"/>
    <xf numFmtId="0" fontId="3" fillId="8" borderId="0" xfId="0" applyFont="1" applyFill="1"/>
    <xf numFmtId="37" fontId="3" fillId="9" borderId="0" xfId="0" applyNumberFormat="1" applyFont="1" applyFill="1"/>
    <xf numFmtId="37" fontId="8" fillId="9" borderId="0" xfId="0" applyNumberFormat="1" applyFont="1" applyFill="1"/>
    <xf numFmtId="0" fontId="3" fillId="9" borderId="0" xfId="0" applyFont="1" applyFill="1"/>
    <xf numFmtId="164" fontId="24" fillId="0" borderId="0" xfId="0" applyNumberFormat="1" applyFont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indent="1"/>
    </xf>
    <xf numFmtId="165" fontId="18" fillId="0" borderId="0" xfId="0" applyNumberFormat="1" applyFont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64" fontId="17" fillId="0" borderId="0" xfId="0" applyNumberFormat="1" applyFont="1" applyAlignment="1">
      <alignment vertical="center"/>
    </xf>
    <xf numFmtId="0" fontId="20" fillId="10" borderId="3" xfId="0" applyFont="1" applyFill="1" applyBorder="1" applyAlignment="1">
      <alignment vertical="center" wrapText="1"/>
    </xf>
    <xf numFmtId="166" fontId="26" fillId="10" borderId="3" xfId="0" applyNumberFormat="1" applyFont="1" applyFill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13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65" fontId="13" fillId="0" borderId="0" xfId="0" applyNumberFormat="1" applyFont="1" applyAlignment="1">
      <alignment vertical="center" wrapText="1"/>
    </xf>
    <xf numFmtId="37" fontId="3" fillId="2" borderId="0" xfId="0" applyNumberFormat="1" applyFont="1" applyFill="1"/>
    <xf numFmtId="37" fontId="15" fillId="0" borderId="0" xfId="0" applyNumberFormat="1" applyFont="1"/>
    <xf numFmtId="37" fontId="12" fillId="0" borderId="0" xfId="0" applyNumberFormat="1" applyFont="1" applyAlignment="1">
      <alignment vertical="center" wrapText="1"/>
    </xf>
    <xf numFmtId="37" fontId="13" fillId="0" borderId="0" xfId="0" applyNumberFormat="1" applyFont="1"/>
    <xf numFmtId="37" fontId="20" fillId="0" borderId="0" xfId="2" applyNumberFormat="1" applyFont="1" applyBorder="1" applyAlignment="1" applyProtection="1">
      <alignment vertical="center"/>
    </xf>
    <xf numFmtId="37" fontId="28" fillId="0" borderId="0" xfId="2" applyNumberFormat="1" applyFont="1" applyBorder="1" applyAlignment="1" applyProtection="1">
      <alignment horizontal="right" vertical="center"/>
    </xf>
    <xf numFmtId="37" fontId="13" fillId="0" borderId="0" xfId="0" applyNumberFormat="1" applyFont="1" applyAlignment="1">
      <alignment horizontal="right"/>
    </xf>
    <xf numFmtId="37" fontId="29" fillId="0" borderId="0" xfId="2" applyNumberFormat="1" applyFont="1" applyBorder="1" applyAlignment="1" applyProtection="1">
      <alignment horizontal="right" vertical="center"/>
    </xf>
    <xf numFmtId="37" fontId="30" fillId="0" borderId="0" xfId="0" applyNumberFormat="1" applyFont="1"/>
    <xf numFmtId="37" fontId="15" fillId="0" borderId="6" xfId="0" applyNumberFormat="1" applyFont="1" applyBorder="1"/>
    <xf numFmtId="37" fontId="15" fillId="0" borderId="2" xfId="0" applyNumberFormat="1" applyFont="1" applyBorder="1" applyAlignment="1">
      <alignment horizontal="right"/>
    </xf>
    <xf numFmtId="37" fontId="31" fillId="0" borderId="0" xfId="0" applyNumberFormat="1" applyFont="1" applyAlignment="1">
      <alignment vertical="center" wrapText="1"/>
    </xf>
    <xf numFmtId="9" fontId="0" fillId="0" borderId="0" xfId="0" applyNumberFormat="1"/>
    <xf numFmtId="9" fontId="8" fillId="0" borderId="0" xfId="1" applyFont="1"/>
  </cellXfs>
  <cellStyles count="3">
    <cellStyle name="GivenData" xfId="2" xr:uid="{557BE397-DBE8-B441-884D-D07A6E3EE118}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41651"/>
      <color rgb="FFA09EDD"/>
      <color rgb="FFF7D6E1"/>
      <color rgb="FFF7D4E6"/>
      <color rgb="FFF3D1F3"/>
      <color rgb="FFF7D0CB"/>
      <color rgb="FFF7CEEE"/>
      <color rgb="FFFFD9FF"/>
      <color rgb="FFFBB2E7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568E-7D42-A948-B203-728D02B904B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9BA1-FF08-204A-B056-CDA021E7C91F}">
  <sheetPr>
    <tabColor rgb="FF00B0F0"/>
  </sheetPr>
  <dimension ref="B1:J32"/>
  <sheetViews>
    <sheetView zoomScale="14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:C1048576"/>
    </sheetView>
  </sheetViews>
  <sheetFormatPr baseColWidth="10" defaultRowHeight="16" x14ac:dyDescent="0.2"/>
  <cols>
    <col min="2" max="2" width="48" bestFit="1" customWidth="1"/>
    <col min="5" max="5" width="11.33203125" bestFit="1" customWidth="1"/>
  </cols>
  <sheetData>
    <row r="1" spans="2:10" ht="28" customHeight="1" x14ac:dyDescent="0.25">
      <c r="B1" s="4" t="s">
        <v>27</v>
      </c>
    </row>
    <row r="2" spans="2:10" s="5" customFormat="1" x14ac:dyDescent="0.2">
      <c r="B2" s="1" t="s">
        <v>9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4" spans="2:10" s="19" customFormat="1" x14ac:dyDescent="0.2">
      <c r="B4" s="19" t="s">
        <v>28</v>
      </c>
      <c r="C4" s="18">
        <v>0.188</v>
      </c>
      <c r="D4" s="18">
        <f>('income statement'!D5-'income statement'!C5)/'income statement'!C5</f>
        <v>9.4757835346635944E-3</v>
      </c>
      <c r="E4" s="18">
        <f>('income statement'!E5-'income statement'!D5)/'income statement'!D5</f>
        <v>-2.9306991503736307E-2</v>
      </c>
      <c r="F4" s="18">
        <v>7.0000000000000007E-2</v>
      </c>
      <c r="G4" s="18">
        <f>F4+1%</f>
        <v>0.08</v>
      </c>
      <c r="H4" s="18">
        <f t="shared" ref="H4:J4" si="0">G4+1%</f>
        <v>0.09</v>
      </c>
      <c r="I4" s="18">
        <f t="shared" si="0"/>
        <v>9.9999999999999992E-2</v>
      </c>
      <c r="J4" s="18">
        <f t="shared" si="0"/>
        <v>0.10999999999999999</v>
      </c>
    </row>
    <row r="5" spans="2:10" s="7" customFormat="1" x14ac:dyDescent="0.2">
      <c r="B5" s="20" t="s">
        <v>31</v>
      </c>
      <c r="C5" s="7">
        <f>'income statement'!C6/'income statement'!C5</f>
        <v>0.81751108263668582</v>
      </c>
      <c r="D5" s="7">
        <f>'income statement'!D6/'income statement'!D5</f>
        <v>0.82137373323779306</v>
      </c>
      <c r="E5" s="7">
        <f>'income statement'!E6/'income statement'!E5</f>
        <v>0.81973488563383845</v>
      </c>
      <c r="F5" s="7">
        <f>AVERAGE($C5:$E5)</f>
        <v>0.81953990050277248</v>
      </c>
      <c r="G5" s="7">
        <f t="shared" ref="G5:J5" si="1">AVERAGE($C5:$E5)</f>
        <v>0.81953990050277248</v>
      </c>
      <c r="H5" s="7">
        <f t="shared" si="1"/>
        <v>0.81953990050277248</v>
      </c>
      <c r="I5" s="7">
        <f t="shared" si="1"/>
        <v>0.81953990050277248</v>
      </c>
      <c r="J5" s="7">
        <f t="shared" si="1"/>
        <v>0.81953990050277248</v>
      </c>
    </row>
    <row r="6" spans="2:10" s="18" customFormat="1" x14ac:dyDescent="0.2">
      <c r="B6" s="23" t="s">
        <v>13</v>
      </c>
      <c r="C6" s="18">
        <f>'income statement'!C10/'income statement'!C5</f>
        <v>4.1013505833238609E-2</v>
      </c>
      <c r="D6" s="18">
        <f>'income statement'!D10/'income statement'!D5</f>
        <v>4.6473538745009722E-2</v>
      </c>
      <c r="E6" s="18">
        <f>'income statement'!E10/'income statement'!E5</f>
        <v>6.7607327027112529E-2</v>
      </c>
      <c r="F6" s="18">
        <v>0.05</v>
      </c>
      <c r="G6" s="18">
        <v>0.05</v>
      </c>
      <c r="H6" s="18">
        <v>0.05</v>
      </c>
      <c r="I6" s="18">
        <v>0.05</v>
      </c>
      <c r="J6" s="18">
        <v>0.05</v>
      </c>
    </row>
    <row r="7" spans="2:10" s="18" customFormat="1" x14ac:dyDescent="0.2">
      <c r="B7" s="24" t="s">
        <v>32</v>
      </c>
      <c r="C7" s="18">
        <f>'income statement'!C11/'income statement'!C6</f>
        <v>6.0672708657237118E-2</v>
      </c>
      <c r="D7" s="18">
        <f>'income statement'!D11/'income statement'!D6</f>
        <v>6.4182452642073784E-2</v>
      </c>
      <c r="E7" s="18">
        <f>'income statement'!E11/'income statement'!E6</f>
        <v>7.5051779810376543E-2</v>
      </c>
      <c r="F7" s="18">
        <f>AVERAGE($C7:$E7)</f>
        <v>6.6635647036562481E-2</v>
      </c>
      <c r="G7" s="18">
        <f t="shared" ref="G7:J7" si="2">AVERAGE($C7:$E7)</f>
        <v>6.6635647036562481E-2</v>
      </c>
      <c r="H7" s="18">
        <f t="shared" si="2"/>
        <v>6.6635647036562481E-2</v>
      </c>
      <c r="I7" s="18">
        <f t="shared" si="2"/>
        <v>6.6635647036562481E-2</v>
      </c>
      <c r="J7" s="18">
        <f t="shared" si="2"/>
        <v>6.6635647036562481E-2</v>
      </c>
    </row>
    <row r="8" spans="2:10" s="18" customFormat="1" x14ac:dyDescent="0.2">
      <c r="B8" s="6" t="s">
        <v>33</v>
      </c>
      <c r="C8" s="18">
        <f>'income statement'!C15/'income statement'!C5</f>
        <v>4.822626145722464E-2</v>
      </c>
      <c r="D8" s="18">
        <f>'income statement'!D15/'income statement'!D5</f>
        <v>5.4949329511720747E-2</v>
      </c>
      <c r="E8" s="18">
        <f>'income statement'!E15/'income statement'!E5</f>
        <v>6.4833855336560262E-2</v>
      </c>
      <c r="F8" s="18">
        <f>AVERAGE($C8:$E8)</f>
        <v>5.6003148768501876E-2</v>
      </c>
      <c r="G8" s="18">
        <f t="shared" ref="G8:J9" si="3">AVERAGE($C8:$E8)</f>
        <v>5.6003148768501876E-2</v>
      </c>
      <c r="H8" s="18">
        <f t="shared" si="3"/>
        <v>5.6003148768501876E-2</v>
      </c>
      <c r="I8" s="18">
        <f t="shared" si="3"/>
        <v>5.6003148768501876E-2</v>
      </c>
      <c r="J8" s="18">
        <f t="shared" si="3"/>
        <v>5.6003148768501876E-2</v>
      </c>
    </row>
    <row r="9" spans="2:10" x14ac:dyDescent="0.2">
      <c r="B9" s="13" t="s">
        <v>17</v>
      </c>
      <c r="C9" s="29">
        <v>1082</v>
      </c>
      <c r="D9" s="29">
        <v>1914</v>
      </c>
      <c r="E9" s="29">
        <v>923</v>
      </c>
      <c r="F9" s="29">
        <f>AVERAGE($C9:$E9)</f>
        <v>1306.3333333333333</v>
      </c>
      <c r="G9" s="29">
        <f t="shared" si="3"/>
        <v>1306.3333333333333</v>
      </c>
      <c r="H9" s="29">
        <f t="shared" si="3"/>
        <v>1306.3333333333333</v>
      </c>
      <c r="I9" s="29">
        <f t="shared" si="3"/>
        <v>1306.3333333333333</v>
      </c>
      <c r="J9" s="29">
        <f t="shared" si="3"/>
        <v>1306.3333333333333</v>
      </c>
    </row>
    <row r="10" spans="2:10" s="19" customFormat="1" x14ac:dyDescent="0.2">
      <c r="B10" s="24" t="s">
        <v>35</v>
      </c>
      <c r="C10" s="19">
        <f>'income statement'!C14/'income statement'!C5</f>
        <v>9.1874799789197395E-2</v>
      </c>
      <c r="D10" s="19">
        <f>'income statement'!D14/'income statement'!D5</f>
        <v>7.2433207083631893E-2</v>
      </c>
      <c r="E10" s="19">
        <f>'income statement'!E14/'income statement'!E5</f>
        <v>4.5925738450019508E-2</v>
      </c>
      <c r="F10" s="19">
        <v>0.11</v>
      </c>
      <c r="G10" s="19">
        <f t="shared" ref="G10:J10" si="4">F10+1.5%</f>
        <v>0.125</v>
      </c>
      <c r="H10" s="19">
        <f t="shared" si="4"/>
        <v>0.14000000000000001</v>
      </c>
      <c r="I10" s="19">
        <f t="shared" si="4"/>
        <v>0.15500000000000003</v>
      </c>
      <c r="J10" s="19">
        <f t="shared" si="4"/>
        <v>0.17000000000000004</v>
      </c>
    </row>
    <row r="11" spans="2:10" x14ac:dyDescent="0.2">
      <c r="B11" s="6" t="s">
        <v>34</v>
      </c>
      <c r="C11" s="7">
        <f>'income statement'!C21/'income statement'!C19</f>
        <v>-0.50145392559911761</v>
      </c>
      <c r="D11" s="7">
        <f>'income statement'!D21/'income statement'!D19</f>
        <v>0.20433815350389323</v>
      </c>
      <c r="E11" s="19">
        <v>0.21</v>
      </c>
      <c r="F11" s="19">
        <v>0.21</v>
      </c>
      <c r="G11" s="19">
        <v>0.21</v>
      </c>
      <c r="H11" s="19">
        <v>0.21</v>
      </c>
      <c r="I11" s="19">
        <v>0.21</v>
      </c>
      <c r="J11" s="19">
        <v>0.21</v>
      </c>
    </row>
    <row r="12" spans="2:10" x14ac:dyDescent="0.2">
      <c r="B12" s="6" t="s">
        <v>73</v>
      </c>
      <c r="C12" s="7">
        <f>'Balance Sheet'!$D18/'income statement'!C5</f>
        <v>0.29782067312163518</v>
      </c>
      <c r="D12" s="7">
        <f>'Balance Sheet'!$D18/'income statement'!D5</f>
        <v>0.29502507933258265</v>
      </c>
      <c r="E12" s="7">
        <f>'Balance Sheet'!$D18/'income statement'!E5</f>
        <v>0.3039324243095321</v>
      </c>
      <c r="F12" s="7">
        <f>AVERAGE(C12:E12)</f>
        <v>0.29892605892124996</v>
      </c>
      <c r="G12" s="7">
        <f t="shared" ref="G12:J12" si="5">AVERAGE(D12:F12)</f>
        <v>0.2992945208544549</v>
      </c>
      <c r="H12" s="7">
        <f t="shared" si="5"/>
        <v>0.30071766802841232</v>
      </c>
      <c r="I12" s="7">
        <f t="shared" si="5"/>
        <v>0.29964608260137243</v>
      </c>
      <c r="J12" s="7">
        <f t="shared" si="5"/>
        <v>0.29988609049474652</v>
      </c>
    </row>
    <row r="13" spans="2:10" x14ac:dyDescent="0.2">
      <c r="B13" s="56" t="s">
        <v>64</v>
      </c>
      <c r="D13" s="21"/>
      <c r="E13" s="22"/>
    </row>
    <row r="14" spans="2:10" x14ac:dyDescent="0.2">
      <c r="B14" s="55" t="s">
        <v>65</v>
      </c>
      <c r="C14" s="29"/>
      <c r="D14" s="29"/>
      <c r="E14" s="17"/>
      <c r="F14">
        <v>-2000</v>
      </c>
      <c r="G14">
        <v>-2000</v>
      </c>
      <c r="H14">
        <v>-2000</v>
      </c>
      <c r="I14">
        <v>-2000</v>
      </c>
      <c r="J14">
        <v>-2000</v>
      </c>
    </row>
    <row r="15" spans="2:10" x14ac:dyDescent="0.2">
      <c r="B15" s="55" t="s">
        <v>66</v>
      </c>
      <c r="C15" s="29">
        <f>'Balance Sheet'!C21-10140</f>
        <v>4363</v>
      </c>
      <c r="D15" s="29">
        <f>'Balance Sheet'!D21-'Balance Sheet'!C21</f>
        <v>5129</v>
      </c>
      <c r="E15" s="17">
        <f>'Balance Sheet'!E21-'Balance Sheet'!D21</f>
        <v>3653</v>
      </c>
      <c r="F15" s="29">
        <f>AVERAGE($C15:$E15)</f>
        <v>4381.666666666667</v>
      </c>
      <c r="G15" s="29">
        <f t="shared" ref="G15:J15" si="6">AVERAGE($C15:$E15)</f>
        <v>4381.666666666667</v>
      </c>
      <c r="H15" s="29">
        <f t="shared" si="6"/>
        <v>4381.666666666667</v>
      </c>
      <c r="I15" s="29">
        <f t="shared" si="6"/>
        <v>4381.666666666667</v>
      </c>
      <c r="J15" s="29">
        <f t="shared" si="6"/>
        <v>4381.666666666667</v>
      </c>
    </row>
    <row r="16" spans="2:10" x14ac:dyDescent="0.2">
      <c r="B16" s="55" t="s">
        <v>67</v>
      </c>
      <c r="E16" s="18"/>
    </row>
    <row r="17" spans="2:10" x14ac:dyDescent="0.2">
      <c r="B17" s="55" t="s">
        <v>68</v>
      </c>
      <c r="E17" s="18"/>
    </row>
    <row r="18" spans="2:10" x14ac:dyDescent="0.2">
      <c r="B18" s="56"/>
      <c r="E18" s="57"/>
    </row>
    <row r="19" spans="2:10" x14ac:dyDescent="0.2">
      <c r="B19" s="55"/>
      <c r="E19" s="57"/>
    </row>
    <row r="20" spans="2:10" x14ac:dyDescent="0.2">
      <c r="B20" s="55"/>
      <c r="E20" s="57"/>
      <c r="F20" s="19"/>
    </row>
    <row r="21" spans="2:10" x14ac:dyDescent="0.2">
      <c r="B21" s="55"/>
      <c r="E21" s="57"/>
    </row>
    <row r="22" spans="2:10" x14ac:dyDescent="0.2">
      <c r="B22" s="55" t="s">
        <v>71</v>
      </c>
      <c r="C22" t="s">
        <v>72</v>
      </c>
      <c r="E22" s="18"/>
    </row>
    <row r="23" spans="2:10" x14ac:dyDescent="0.2">
      <c r="B23" s="55"/>
      <c r="E23" s="18"/>
    </row>
    <row r="24" spans="2:10" x14ac:dyDescent="0.2">
      <c r="B24" s="32" t="s">
        <v>23</v>
      </c>
      <c r="C24" s="32">
        <v>3174</v>
      </c>
      <c r="D24" s="32">
        <v>3197</v>
      </c>
      <c r="E24" s="32">
        <v>3225</v>
      </c>
      <c r="F24" s="29">
        <f>AVERAGE($C24:$E24)</f>
        <v>3198.6666666666665</v>
      </c>
      <c r="G24" s="29">
        <f t="shared" ref="G24:J24" si="7">AVERAGE($C24:$E24)</f>
        <v>3198.6666666666665</v>
      </c>
      <c r="H24" s="29">
        <f t="shared" si="7"/>
        <v>3198.6666666666665</v>
      </c>
      <c r="I24" s="29">
        <f t="shared" si="7"/>
        <v>3198.6666666666665</v>
      </c>
      <c r="J24" s="29">
        <f t="shared" si="7"/>
        <v>3198.6666666666665</v>
      </c>
    </row>
    <row r="25" spans="2:10" x14ac:dyDescent="0.2">
      <c r="B25" t="s">
        <v>29</v>
      </c>
      <c r="C25" s="32">
        <v>3485</v>
      </c>
      <c r="D25" s="32">
        <v>3498</v>
      </c>
      <c r="E25" s="32">
        <v>3528</v>
      </c>
      <c r="F25" s="29">
        <f>AVERAGE($C25:$E25)</f>
        <v>3503.6666666666665</v>
      </c>
      <c r="G25" s="29">
        <f t="shared" ref="G25:J25" si="8">AVERAGE($C25:$E25)</f>
        <v>3503.6666666666665</v>
      </c>
      <c r="H25" s="29">
        <f t="shared" si="8"/>
        <v>3503.6666666666665</v>
      </c>
      <c r="I25" s="29">
        <f t="shared" si="8"/>
        <v>3503.6666666666665</v>
      </c>
      <c r="J25" s="29">
        <f t="shared" si="8"/>
        <v>3503.6666666666665</v>
      </c>
    </row>
    <row r="26" spans="2:10" x14ac:dyDescent="0.2">
      <c r="B26" t="s">
        <v>30</v>
      </c>
      <c r="E26">
        <v>-6800</v>
      </c>
    </row>
    <row r="28" spans="2:10" x14ac:dyDescent="0.2">
      <c r="B28" s="32" t="s">
        <v>103</v>
      </c>
      <c r="C28" s="32">
        <v>-6759</v>
      </c>
      <c r="D28" s="32">
        <v>-7645</v>
      </c>
      <c r="E28" s="32">
        <v>-6951</v>
      </c>
      <c r="F28" s="29">
        <f>AVERAGE($C28:$E28)</f>
        <v>-7118.333333333333</v>
      </c>
      <c r="G28" s="29">
        <f t="shared" ref="G28:J28" si="9">AVERAGE($C28:$E28)</f>
        <v>-7118.333333333333</v>
      </c>
      <c r="H28" s="29">
        <f t="shared" si="9"/>
        <v>-7118.333333333333</v>
      </c>
      <c r="I28" s="29">
        <f t="shared" si="9"/>
        <v>-7118.333333333333</v>
      </c>
      <c r="J28" s="29">
        <f t="shared" si="9"/>
        <v>-7118.333333333333</v>
      </c>
    </row>
    <row r="29" spans="2:10" x14ac:dyDescent="0.2">
      <c r="B29" s="32" t="s">
        <v>114</v>
      </c>
      <c r="C29" s="32">
        <v>-227</v>
      </c>
      <c r="D29" s="32">
        <v>-251</v>
      </c>
      <c r="E29" s="32">
        <v>17</v>
      </c>
      <c r="F29" s="29">
        <f>AVERAGE(C29:E29)</f>
        <v>-153.66666666666666</v>
      </c>
      <c r="G29" s="29">
        <f t="shared" ref="G29:J29" si="10">AVERAGE(D29:F29)</f>
        <v>-129.2222222222222</v>
      </c>
      <c r="H29" s="29">
        <f t="shared" si="10"/>
        <v>-88.629629629629619</v>
      </c>
      <c r="I29" s="29">
        <f t="shared" si="10"/>
        <v>-123.83950617283949</v>
      </c>
      <c r="J29" s="29">
        <f t="shared" si="10"/>
        <v>-113.89711934156378</v>
      </c>
    </row>
    <row r="31" spans="2:10" x14ac:dyDescent="0.2">
      <c r="B31" s="70" t="s">
        <v>117</v>
      </c>
      <c r="C31" s="70">
        <v>1812</v>
      </c>
      <c r="D31" s="70">
        <v>1999</v>
      </c>
      <c r="E31" s="70">
        <v>2825</v>
      </c>
    </row>
    <row r="32" spans="2:10" x14ac:dyDescent="0.2">
      <c r="B32" s="70" t="s">
        <v>142</v>
      </c>
      <c r="C32" s="7">
        <f>(C31-1560)/1560</f>
        <v>0.16153846153846155</v>
      </c>
      <c r="D32" s="7">
        <f>(D31-C31)/C31</f>
        <v>0.10320088300220751</v>
      </c>
      <c r="E32" s="7">
        <f>(E31-D31)/D31</f>
        <v>0.41320660330165082</v>
      </c>
      <c r="F32" s="100">
        <f>AVERAGE($C32:$E32)</f>
        <v>0.22598198261410662</v>
      </c>
      <c r="G32" s="100">
        <f t="shared" ref="G32:J32" si="11">AVERAGE($C32:$E32)</f>
        <v>0.22598198261410662</v>
      </c>
      <c r="H32" s="100">
        <f t="shared" si="11"/>
        <v>0.22598198261410662</v>
      </c>
      <c r="I32" s="100">
        <f t="shared" si="11"/>
        <v>0.22598198261410662</v>
      </c>
      <c r="J32" s="100">
        <f t="shared" si="11"/>
        <v>0.22598198261410662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CD70-9B59-044F-953C-0B0B6685A8ED}">
  <sheetPr>
    <tabColor theme="4" tint="0.39997558519241921"/>
  </sheetPr>
  <dimension ref="A1:L35"/>
  <sheetViews>
    <sheetView tabSelected="1" zoomScale="117" zoomScaleNormal="91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G14" sqref="G14"/>
    </sheetView>
  </sheetViews>
  <sheetFormatPr baseColWidth="10" defaultRowHeight="16" x14ac:dyDescent="0.2"/>
  <cols>
    <col min="2" max="2" width="37.1640625" bestFit="1" customWidth="1"/>
  </cols>
  <sheetData>
    <row r="1" spans="1:12" s="5" customFormat="1" ht="28" customHeight="1" x14ac:dyDescent="0.3">
      <c r="B1" s="66" t="s">
        <v>119</v>
      </c>
    </row>
    <row r="2" spans="1:12" x14ac:dyDescent="0.2">
      <c r="A2" s="29"/>
      <c r="B2" s="29"/>
      <c r="C2" s="29"/>
      <c r="D2" s="29"/>
      <c r="E2" s="29"/>
      <c r="F2" s="30" t="s">
        <v>8</v>
      </c>
      <c r="G2" s="29"/>
      <c r="H2" s="29"/>
      <c r="I2" s="29"/>
      <c r="J2" s="29"/>
      <c r="K2" s="29"/>
    </row>
    <row r="3" spans="1:12" s="1" customFormat="1" x14ac:dyDescent="0.2">
      <c r="A3" s="31"/>
      <c r="B3" s="31" t="s">
        <v>9</v>
      </c>
      <c r="C3" s="31" t="s">
        <v>0</v>
      </c>
      <c r="D3" s="31" t="s">
        <v>1</v>
      </c>
      <c r="E3" s="31" t="s">
        <v>2</v>
      </c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/>
      <c r="L3" s="25"/>
    </row>
    <row r="4" spans="1:12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12"/>
    </row>
    <row r="5" spans="1:12" x14ac:dyDescent="0.2">
      <c r="A5" s="29"/>
      <c r="B5" s="32" t="s">
        <v>10</v>
      </c>
      <c r="C5" s="32">
        <v>96773</v>
      </c>
      <c r="D5" s="32">
        <v>97690</v>
      </c>
      <c r="E5" s="32">
        <v>94827</v>
      </c>
      <c r="F5" s="29">
        <f>E5*(1+assumptions!F4)</f>
        <v>101464.89</v>
      </c>
      <c r="G5" s="29">
        <f>F5*(1+assumptions!G4)</f>
        <v>109582.0812</v>
      </c>
      <c r="H5" s="29">
        <f>G5*(1+assumptions!H4)</f>
        <v>119444.46850800001</v>
      </c>
      <c r="I5" s="29">
        <f>H5*(1+assumptions!I4)</f>
        <v>131388.9153588</v>
      </c>
      <c r="J5" s="29">
        <f>I5*(1+assumptions!J4)</f>
        <v>145841.696048268</v>
      </c>
      <c r="K5" s="29"/>
      <c r="L5" s="12"/>
    </row>
    <row r="6" spans="1:12" x14ac:dyDescent="0.2">
      <c r="A6" s="29"/>
      <c r="B6" s="32" t="s">
        <v>11</v>
      </c>
      <c r="C6" s="32">
        <v>79113</v>
      </c>
      <c r="D6" s="32">
        <v>80240</v>
      </c>
      <c r="E6" s="32">
        <v>77733</v>
      </c>
      <c r="F6" s="29">
        <f>F5*assumptions!F5</f>
        <v>83154.525855124753</v>
      </c>
      <c r="G6" s="29">
        <f>G5*assumptions!G5</f>
        <v>89806.887923534741</v>
      </c>
      <c r="H6" s="29">
        <f>H5*assumptions!H5</f>
        <v>97889.507836652861</v>
      </c>
      <c r="I6" s="29">
        <f>I5*assumptions!I5</f>
        <v>107678.45862031815</v>
      </c>
      <c r="J6" s="29">
        <f>J5*assumptions!J5</f>
        <v>119523.08906855315</v>
      </c>
      <c r="K6" s="29"/>
      <c r="L6" s="12"/>
    </row>
    <row r="7" spans="1:12" s="27" customFormat="1" x14ac:dyDescent="0.2">
      <c r="A7" s="33"/>
      <c r="B7" s="34" t="s">
        <v>12</v>
      </c>
      <c r="C7" s="34">
        <f>C5-C6</f>
        <v>17660</v>
      </c>
      <c r="D7" s="34">
        <f t="shared" ref="D7:J7" si="0">D5-D6</f>
        <v>17450</v>
      </c>
      <c r="E7" s="34">
        <f t="shared" si="0"/>
        <v>17094</v>
      </c>
      <c r="F7" s="34">
        <f t="shared" si="0"/>
        <v>18310.364144875246</v>
      </c>
      <c r="G7" s="34">
        <f t="shared" si="0"/>
        <v>19775.193276465259</v>
      </c>
      <c r="H7" s="34">
        <f t="shared" si="0"/>
        <v>21554.960671347144</v>
      </c>
      <c r="I7" s="34">
        <f t="shared" si="0"/>
        <v>23710.456738481851</v>
      </c>
      <c r="J7" s="34">
        <f t="shared" si="0"/>
        <v>26318.606979714852</v>
      </c>
      <c r="K7" s="33"/>
      <c r="L7" s="26"/>
    </row>
    <row r="8" spans="1:12" s="11" customFormat="1" x14ac:dyDescent="0.2">
      <c r="A8" s="35"/>
      <c r="B8" s="36" t="s">
        <v>36</v>
      </c>
      <c r="C8" s="101">
        <f>C7/C5</f>
        <v>0.18248891736331416</v>
      </c>
      <c r="D8" s="101">
        <f>D7/D5</f>
        <v>0.17862626676220697</v>
      </c>
      <c r="E8" s="101">
        <f t="shared" ref="E8:J8" si="1">E7/E5</f>
        <v>0.18026511436616155</v>
      </c>
      <c r="F8" s="101">
        <f t="shared" si="1"/>
        <v>0.18046009949722752</v>
      </c>
      <c r="G8" s="101">
        <f t="shared" si="1"/>
        <v>0.18046009949722747</v>
      </c>
      <c r="H8" s="101">
        <f t="shared" si="1"/>
        <v>0.18046009949722755</v>
      </c>
      <c r="I8" s="101">
        <f t="shared" si="1"/>
        <v>0.18046009949722749</v>
      </c>
      <c r="J8" s="101">
        <f t="shared" si="1"/>
        <v>0.18046009949722749</v>
      </c>
      <c r="K8" s="35"/>
      <c r="L8" s="16"/>
    </row>
    <row r="9" spans="1:12" x14ac:dyDescent="0.2">
      <c r="A9" s="29"/>
      <c r="B9" s="32"/>
      <c r="C9" s="32"/>
      <c r="D9" s="32"/>
      <c r="E9" s="32"/>
      <c r="F9" s="29"/>
      <c r="G9" s="32"/>
      <c r="H9" s="32"/>
      <c r="I9" s="29"/>
      <c r="J9" s="29"/>
      <c r="K9" s="29"/>
      <c r="L9" s="12"/>
    </row>
    <row r="10" spans="1:12" x14ac:dyDescent="0.2">
      <c r="A10" s="29"/>
      <c r="B10" s="32" t="s">
        <v>13</v>
      </c>
      <c r="C10" s="32">
        <v>3969</v>
      </c>
      <c r="D10" s="32">
        <v>4540</v>
      </c>
      <c r="E10" s="32">
        <v>6411</v>
      </c>
      <c r="F10" s="29">
        <f>F5*assumptions!F6</f>
        <v>5073.2445000000007</v>
      </c>
      <c r="G10" s="29">
        <f>G5*assumptions!G6</f>
        <v>5479.1040600000006</v>
      </c>
      <c r="H10" s="29">
        <f>H5*assumptions!H6</f>
        <v>5972.2234254000005</v>
      </c>
      <c r="I10" s="29">
        <f>I5*assumptions!I6</f>
        <v>6569.4457679400002</v>
      </c>
      <c r="J10" s="29">
        <f>J5*assumptions!J6</f>
        <v>7292.0848024134002</v>
      </c>
      <c r="K10" s="29"/>
      <c r="L10" s="12"/>
    </row>
    <row r="11" spans="1:12" x14ac:dyDescent="0.2">
      <c r="A11" s="29"/>
      <c r="B11" s="32" t="s">
        <v>14</v>
      </c>
      <c r="C11" s="32">
        <v>4800</v>
      </c>
      <c r="D11" s="32">
        <v>5150</v>
      </c>
      <c r="E11" s="32">
        <v>5834</v>
      </c>
      <c r="F11" s="29">
        <f>F6*assumptions!F7</f>
        <v>5541.0556343748021</v>
      </c>
      <c r="G11" s="29">
        <f>G6*assumptions!G7</f>
        <v>5984.340085124787</v>
      </c>
      <c r="H11" s="29">
        <f>H6*assumptions!H7</f>
        <v>6522.9306927860171</v>
      </c>
      <c r="I11" s="29">
        <f>I6*assumptions!I7</f>
        <v>7175.2237620646192</v>
      </c>
      <c r="J11" s="29">
        <f>J6*assumptions!J7</f>
        <v>7964.4983758917269</v>
      </c>
      <c r="K11" s="29"/>
      <c r="L11" s="12"/>
    </row>
    <row r="12" spans="1:12" x14ac:dyDescent="0.2">
      <c r="A12" s="29"/>
      <c r="B12" s="29" t="s">
        <v>38</v>
      </c>
      <c r="C12" s="29">
        <f t="shared" ref="C12:D12" si="2">C13-SUM(C10:C11)</f>
        <v>0</v>
      </c>
      <c r="D12" s="29">
        <f t="shared" si="2"/>
        <v>684</v>
      </c>
      <c r="E12" s="29">
        <f>E13-SUM(E10:E11)</f>
        <v>494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/>
      <c r="L12" s="12"/>
    </row>
    <row r="13" spans="1:12" s="27" customFormat="1" x14ac:dyDescent="0.2">
      <c r="A13" s="33"/>
      <c r="B13" s="34" t="s">
        <v>16</v>
      </c>
      <c r="C13" s="34">
        <f>C10+C11</f>
        <v>8769</v>
      </c>
      <c r="D13" s="34">
        <v>10374</v>
      </c>
      <c r="E13" s="34">
        <v>12739</v>
      </c>
      <c r="F13" s="33">
        <f>SUBTOTAL(109,F10:F12)</f>
        <v>10614.300134374804</v>
      </c>
      <c r="G13" s="33">
        <f>SUBTOTAL(109,G10:G12)</f>
        <v>11463.444145124788</v>
      </c>
      <c r="H13" s="33">
        <f t="shared" ref="H13:J13" si="3">SUBTOTAL(109,H10:H12)</f>
        <v>12495.154118186018</v>
      </c>
      <c r="I13" s="33">
        <f t="shared" si="3"/>
        <v>13744.669530004619</v>
      </c>
      <c r="J13" s="33">
        <f t="shared" si="3"/>
        <v>15256.583178305127</v>
      </c>
      <c r="K13" s="33"/>
      <c r="L13" s="26"/>
    </row>
    <row r="14" spans="1:12" s="10" customFormat="1" x14ac:dyDescent="0.2">
      <c r="A14" s="37"/>
      <c r="B14" s="38" t="s">
        <v>37</v>
      </c>
      <c r="C14" s="38">
        <f>C7-C13</f>
        <v>8891</v>
      </c>
      <c r="D14" s="38">
        <f t="shared" ref="D14:J14" si="4">D7-D13</f>
        <v>7076</v>
      </c>
      <c r="E14" s="38">
        <f t="shared" si="4"/>
        <v>4355</v>
      </c>
      <c r="F14" s="38">
        <f t="shared" si="4"/>
        <v>7696.0640105004422</v>
      </c>
      <c r="G14" s="38">
        <f t="shared" si="4"/>
        <v>8311.7491313404716</v>
      </c>
      <c r="H14" s="38">
        <f t="shared" si="4"/>
        <v>9059.8065531611264</v>
      </c>
      <c r="I14" s="38">
        <f t="shared" si="4"/>
        <v>9965.7872084772316</v>
      </c>
      <c r="J14" s="38">
        <f t="shared" si="4"/>
        <v>11062.023801409725</v>
      </c>
      <c r="K14" s="37"/>
      <c r="L14" s="14"/>
    </row>
    <row r="15" spans="1:12" ht="19" customHeight="1" x14ac:dyDescent="0.2">
      <c r="A15" s="29"/>
      <c r="B15" s="29" t="s">
        <v>39</v>
      </c>
      <c r="C15" s="29">
        <f>C17-C14</f>
        <v>4667</v>
      </c>
      <c r="D15" s="29">
        <f>D17-D14</f>
        <v>5368</v>
      </c>
      <c r="E15" s="29">
        <f>E17-E14</f>
        <v>6148</v>
      </c>
      <c r="F15" s="29">
        <f>'Dep Capex Schedule'!F6</f>
        <v>5682.3533294496783</v>
      </c>
      <c r="G15" s="29">
        <f>'Dep Capex Schedule'!G6</f>
        <v>6136.9415958056525</v>
      </c>
      <c r="H15" s="29">
        <f>'Dep Capex Schedule'!H6</f>
        <v>6689.2663394281617</v>
      </c>
      <c r="I15" s="29">
        <f>'Dep Capex Schedule'!I6</f>
        <v>7358.1929733709776</v>
      </c>
      <c r="J15" s="29">
        <f>'Dep Capex Schedule'!J6</f>
        <v>8167.5942004417848</v>
      </c>
      <c r="K15" s="29"/>
      <c r="L15" s="12"/>
    </row>
    <row r="16" spans="1:12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2" s="10" customFormat="1" x14ac:dyDescent="0.2">
      <c r="A17" s="37"/>
      <c r="B17" s="38" t="s">
        <v>22</v>
      </c>
      <c r="C17" s="38">
        <v>13558</v>
      </c>
      <c r="D17" s="38">
        <v>12444</v>
      </c>
      <c r="E17" s="38">
        <v>10503</v>
      </c>
      <c r="F17" s="37">
        <f>F14+F15</f>
        <v>13378.41733995012</v>
      </c>
      <c r="G17" s="37">
        <f t="shared" ref="G17:J17" si="5">G14+G15</f>
        <v>14448.690727146124</v>
      </c>
      <c r="H17" s="37">
        <f t="shared" si="5"/>
        <v>15749.072892589287</v>
      </c>
      <c r="I17" s="37">
        <f t="shared" si="5"/>
        <v>17323.980181848208</v>
      </c>
      <c r="J17" s="37">
        <f t="shared" si="5"/>
        <v>19229.618001851508</v>
      </c>
      <c r="K17" s="37"/>
      <c r="L17" s="14"/>
    </row>
    <row r="18" spans="1:12" x14ac:dyDescent="0.2">
      <c r="A18" s="29"/>
      <c r="B18" s="32" t="s">
        <v>17</v>
      </c>
      <c r="C18" s="32">
        <v>1082</v>
      </c>
      <c r="D18" s="32">
        <v>1914</v>
      </c>
      <c r="E18" s="32">
        <v>923</v>
      </c>
      <c r="F18" s="29">
        <f>AVERAGE($C18:$E18)</f>
        <v>1306.3333333333333</v>
      </c>
      <c r="G18" s="29">
        <f t="shared" ref="G18:J18" si="6">AVERAGE($C18:$E18)</f>
        <v>1306.3333333333333</v>
      </c>
      <c r="H18" s="29">
        <f t="shared" si="6"/>
        <v>1306.3333333333333</v>
      </c>
      <c r="I18" s="29">
        <f t="shared" si="6"/>
        <v>1306.3333333333333</v>
      </c>
      <c r="J18" s="29">
        <f t="shared" si="6"/>
        <v>1306.3333333333333</v>
      </c>
      <c r="K18" s="29"/>
      <c r="L18" s="12"/>
    </row>
    <row r="19" spans="1:12" s="9" customFormat="1" x14ac:dyDescent="0.2">
      <c r="A19" s="39"/>
      <c r="B19" s="38" t="s">
        <v>40</v>
      </c>
      <c r="C19" s="40">
        <f t="shared" ref="C19:J19" si="7">C14+C18</f>
        <v>9973</v>
      </c>
      <c r="D19" s="40">
        <f t="shared" si="7"/>
        <v>8990</v>
      </c>
      <c r="E19" s="40">
        <f t="shared" si="7"/>
        <v>5278</v>
      </c>
      <c r="F19" s="40">
        <f t="shared" si="7"/>
        <v>9002.3973438337762</v>
      </c>
      <c r="G19" s="40">
        <f t="shared" si="7"/>
        <v>9618.0824646738056</v>
      </c>
      <c r="H19" s="40">
        <f t="shared" si="7"/>
        <v>10366.13988649446</v>
      </c>
      <c r="I19" s="40">
        <f t="shared" si="7"/>
        <v>11272.120541810566</v>
      </c>
      <c r="J19" s="40">
        <f t="shared" si="7"/>
        <v>12368.357134743059</v>
      </c>
      <c r="K19" s="39"/>
      <c r="L19" s="28"/>
    </row>
    <row r="20" spans="1:12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2" x14ac:dyDescent="0.2">
      <c r="A21" s="29"/>
      <c r="B21" s="32" t="s">
        <v>18</v>
      </c>
      <c r="C21" s="32">
        <v>-5001</v>
      </c>
      <c r="D21" s="32">
        <v>1837</v>
      </c>
      <c r="E21" s="32">
        <v>1423</v>
      </c>
      <c r="F21" s="29">
        <f>F19*assumptions!$E11</f>
        <v>1890.5034422050928</v>
      </c>
      <c r="G21" s="29">
        <f>G19*assumptions!$E11</f>
        <v>2019.7973175814991</v>
      </c>
      <c r="H21" s="29">
        <f>H19*assumptions!$E11</f>
        <v>2176.8893761638365</v>
      </c>
      <c r="I21" s="29">
        <f>I19*assumptions!$E11</f>
        <v>2367.1453137802187</v>
      </c>
      <c r="J21" s="29">
        <f>J19*assumptions!$E11</f>
        <v>2597.3549982960421</v>
      </c>
      <c r="K21" s="29"/>
      <c r="L21" s="12"/>
    </row>
    <row r="22" spans="1:12" s="45" customFormat="1" x14ac:dyDescent="0.2">
      <c r="A22" s="42"/>
      <c r="B22" s="43" t="s">
        <v>19</v>
      </c>
      <c r="C22" s="42">
        <f t="shared" ref="C22:E22" si="8">C19-C21</f>
        <v>14974</v>
      </c>
      <c r="D22" s="42">
        <f t="shared" si="8"/>
        <v>7153</v>
      </c>
      <c r="E22" s="42">
        <f t="shared" si="8"/>
        <v>3855</v>
      </c>
      <c r="F22" s="42">
        <f>F19-F21</f>
        <v>7111.8939016286831</v>
      </c>
      <c r="G22" s="42">
        <f t="shared" ref="G22" si="9">G19-G21</f>
        <v>7598.2851470923069</v>
      </c>
      <c r="H22" s="42">
        <f t="shared" ref="H22" si="10">H19-H21</f>
        <v>8189.2505103306239</v>
      </c>
      <c r="I22" s="42">
        <f t="shared" ref="I22" si="11">I19-I21</f>
        <v>8904.9752280303474</v>
      </c>
      <c r="J22" s="42">
        <f>J19-J21</f>
        <v>9771.0021364470158</v>
      </c>
      <c r="K22" s="42"/>
      <c r="L22" s="44"/>
    </row>
    <row r="23" spans="1:12" x14ac:dyDescent="0.2">
      <c r="A23" s="29"/>
      <c r="B23" s="2" t="s">
        <v>20</v>
      </c>
      <c r="C23" s="29">
        <f>C24-C22</f>
        <v>23</v>
      </c>
      <c r="D23" s="29">
        <f t="shared" ref="D23:E23" si="12">D24-D22</f>
        <v>-62</v>
      </c>
      <c r="E23" s="29">
        <f t="shared" si="12"/>
        <v>-61</v>
      </c>
      <c r="F23" s="29"/>
      <c r="G23" s="29"/>
      <c r="H23" s="29"/>
      <c r="I23" s="29"/>
      <c r="J23" s="29"/>
      <c r="K23" s="29"/>
      <c r="L23" s="12"/>
    </row>
    <row r="24" spans="1:12" s="10" customFormat="1" x14ac:dyDescent="0.2">
      <c r="A24" s="37"/>
      <c r="B24" s="38" t="s">
        <v>21</v>
      </c>
      <c r="C24" s="38">
        <v>14997</v>
      </c>
      <c r="D24" s="38">
        <v>7091</v>
      </c>
      <c r="E24" s="38">
        <v>3794</v>
      </c>
      <c r="F24" s="37">
        <f>SUM(F22:F23)</f>
        <v>7111.8939016286831</v>
      </c>
      <c r="G24" s="37">
        <f t="shared" ref="G24:J24" si="13">SUM(G22:G23)</f>
        <v>7598.2851470923069</v>
      </c>
      <c r="H24" s="37">
        <f t="shared" si="13"/>
        <v>8189.2505103306239</v>
      </c>
      <c r="I24" s="37">
        <f t="shared" si="13"/>
        <v>8904.9752280303474</v>
      </c>
      <c r="J24" s="37">
        <f t="shared" si="13"/>
        <v>9771.0021364470158</v>
      </c>
      <c r="K24" s="37"/>
      <c r="L24" s="14"/>
    </row>
    <row r="25" spans="1:12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2" x14ac:dyDescent="0.2">
      <c r="A26" s="29"/>
      <c r="B26" s="32" t="s">
        <v>23</v>
      </c>
      <c r="C26" s="32">
        <v>3174</v>
      </c>
      <c r="D26" s="32">
        <v>3197</v>
      </c>
      <c r="E26" s="32">
        <v>3225</v>
      </c>
      <c r="F26" s="29">
        <f>assumptions!F24</f>
        <v>3198.6666666666665</v>
      </c>
      <c r="G26" s="29">
        <f>assumptions!G24</f>
        <v>3198.6666666666665</v>
      </c>
      <c r="H26" s="29">
        <f>assumptions!H24</f>
        <v>3198.6666666666665</v>
      </c>
      <c r="I26" s="29">
        <f>assumptions!I24</f>
        <v>3198.6666666666665</v>
      </c>
      <c r="J26" s="29">
        <f>assumptions!J24</f>
        <v>3198.6666666666665</v>
      </c>
      <c r="K26" s="29"/>
      <c r="L26" s="12"/>
    </row>
    <row r="27" spans="1:12" x14ac:dyDescent="0.2">
      <c r="A27" s="29"/>
      <c r="B27" s="32" t="s">
        <v>24</v>
      </c>
      <c r="C27" s="32">
        <v>3485</v>
      </c>
      <c r="D27" s="32">
        <v>3498</v>
      </c>
      <c r="E27" s="32">
        <v>3528</v>
      </c>
      <c r="F27" s="29">
        <f>assumptions!F25</f>
        <v>3503.6666666666665</v>
      </c>
      <c r="G27" s="29">
        <f>assumptions!G25</f>
        <v>3503.6666666666665</v>
      </c>
      <c r="H27" s="29">
        <f>assumptions!H25</f>
        <v>3503.6666666666665</v>
      </c>
      <c r="I27" s="29">
        <f>assumptions!I25</f>
        <v>3503.6666666666665</v>
      </c>
      <c r="J27" s="29">
        <f>assumptions!J25</f>
        <v>3503.6666666666665</v>
      </c>
      <c r="K27" s="29"/>
      <c r="L27" s="12"/>
    </row>
    <row r="28" spans="1:12" x14ac:dyDescent="0.2">
      <c r="A28" s="29"/>
      <c r="B28" s="32" t="s">
        <v>25</v>
      </c>
      <c r="C28" s="32">
        <f t="shared" ref="C28:D28" si="14">C24/C26</f>
        <v>4.7249527410207941</v>
      </c>
      <c r="D28" s="32">
        <f t="shared" si="14"/>
        <v>2.2180168908351581</v>
      </c>
      <c r="E28" s="32">
        <f>E24/E26</f>
        <v>1.1764341085271317</v>
      </c>
      <c r="F28" s="32">
        <f t="shared" ref="F28:J28" si="15">F24/F26</f>
        <v>2.2233932581165123</v>
      </c>
      <c r="G28" s="32">
        <f t="shared" si="15"/>
        <v>2.3754538809167278</v>
      </c>
      <c r="H28" s="32">
        <f t="shared" si="15"/>
        <v>2.5602075376189948</v>
      </c>
      <c r="I28" s="32">
        <f t="shared" si="15"/>
        <v>2.7839647440695128</v>
      </c>
      <c r="J28" s="32">
        <f t="shared" si="15"/>
        <v>3.0547109638746401</v>
      </c>
      <c r="K28" s="29"/>
      <c r="L28" s="12"/>
    </row>
    <row r="29" spans="1:12" s="3" customFormat="1" x14ac:dyDescent="0.2">
      <c r="A29" s="30"/>
      <c r="B29" s="41" t="s">
        <v>26</v>
      </c>
      <c r="C29" s="41">
        <f t="shared" ref="C29:D29" si="16">C24/C27</f>
        <v>4.3032998565279774</v>
      </c>
      <c r="D29" s="41">
        <f t="shared" si="16"/>
        <v>2.0271583762149801</v>
      </c>
      <c r="E29" s="41">
        <f>E24/E27</f>
        <v>1.0753968253968254</v>
      </c>
      <c r="F29" s="41">
        <f t="shared" ref="F29:J29" si="17">F24/F27</f>
        <v>2.0298431837965989</v>
      </c>
      <c r="G29" s="41">
        <f t="shared" si="17"/>
        <v>2.1686666769362497</v>
      </c>
      <c r="H29" s="41">
        <f t="shared" si="17"/>
        <v>2.3373372211009298</v>
      </c>
      <c r="I29" s="41">
        <f t="shared" si="17"/>
        <v>2.5416159912559264</v>
      </c>
      <c r="J29" s="41">
        <f t="shared" si="17"/>
        <v>2.7887933031434735</v>
      </c>
      <c r="K29" s="30"/>
      <c r="L29" s="15"/>
    </row>
    <row r="30" spans="1:12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12"/>
    </row>
    <row r="31" spans="1:12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12"/>
    </row>
    <row r="32" spans="1:12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2"/>
    </row>
    <row r="33" spans="2:12" x14ac:dyDescent="0.2"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2:12" x14ac:dyDescent="0.2"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2:12" x14ac:dyDescent="0.2">
      <c r="C35" s="12"/>
      <c r="D35" s="12"/>
      <c r="E35" s="12"/>
      <c r="F35" s="12"/>
      <c r="G35" s="12"/>
      <c r="H35" s="12"/>
      <c r="I35" s="12"/>
      <c r="J35" s="12"/>
      <c r="K35" s="12"/>
      <c r="L3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06C7-A01F-A84C-9EFD-A46F5DF2F892}">
  <sheetPr>
    <tabColor theme="9" tint="0.59999389629810485"/>
  </sheetPr>
  <dimension ref="A1:L33"/>
  <sheetViews>
    <sheetView showGridLines="0" zoomScale="111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F19" sqref="F19"/>
    </sheetView>
  </sheetViews>
  <sheetFormatPr baseColWidth="10" defaultRowHeight="16" x14ac:dyDescent="0.2"/>
  <cols>
    <col min="2" max="2" width="39.6640625" bestFit="1" customWidth="1"/>
  </cols>
  <sheetData>
    <row r="1" spans="1:12" s="5" customFormat="1" ht="28" customHeight="1" x14ac:dyDescent="0.3">
      <c r="B1" s="66" t="s">
        <v>120</v>
      </c>
    </row>
    <row r="2" spans="1:12" x14ac:dyDescent="0.2">
      <c r="A2" s="29"/>
      <c r="B2" s="29"/>
      <c r="C2" s="29"/>
      <c r="D2" s="29"/>
      <c r="E2" s="30" t="s">
        <v>8</v>
      </c>
      <c r="F2" s="29"/>
      <c r="G2" s="29"/>
      <c r="H2" s="29"/>
      <c r="I2" s="29"/>
      <c r="J2" s="29"/>
    </row>
    <row r="3" spans="1:12" s="51" customFormat="1" x14ac:dyDescent="0.2">
      <c r="A3" s="49"/>
      <c r="B3" s="49" t="s">
        <v>9</v>
      </c>
      <c r="C3" s="49" t="s">
        <v>0</v>
      </c>
      <c r="D3" s="49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/>
      <c r="L3" s="50"/>
    </row>
    <row r="4" spans="1:12" x14ac:dyDescent="0.2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2" x14ac:dyDescent="0.2">
      <c r="A5" s="29"/>
      <c r="B5" s="32" t="s">
        <v>41</v>
      </c>
      <c r="C5" s="32">
        <v>29094</v>
      </c>
      <c r="D5" s="32">
        <v>36563</v>
      </c>
      <c r="E5" s="32">
        <v>44059</v>
      </c>
      <c r="F5" s="29">
        <f>E5+'Cash Flow'!F30</f>
        <v>54075.840560528042</v>
      </c>
      <c r="G5" s="29">
        <f>F5+'Cash Flow'!G30</f>
        <v>65247.992543676097</v>
      </c>
      <c r="H5" s="29">
        <f>G5+'Cash Flow'!H30</f>
        <v>77844.072897900085</v>
      </c>
      <c r="I5" s="29">
        <f>H5+'Cash Flow'!I30</f>
        <v>92085.965165966205</v>
      </c>
      <c r="J5" s="29">
        <f>I5+'Cash Flow'!J30</f>
        <v>108373.7970093099</v>
      </c>
    </row>
    <row r="6" spans="1:12" x14ac:dyDescent="0.2">
      <c r="A6" s="29"/>
      <c r="B6" s="32" t="s">
        <v>42</v>
      </c>
      <c r="C6" s="32">
        <v>3508</v>
      </c>
      <c r="D6" s="32">
        <v>4418</v>
      </c>
      <c r="E6" s="32">
        <v>4576</v>
      </c>
      <c r="F6" s="29">
        <f>E6*(1+assumptions!F4)</f>
        <v>4896.3200000000006</v>
      </c>
      <c r="G6" s="29">
        <f>F6*(1+assumptions!G4)</f>
        <v>5288.0256000000008</v>
      </c>
      <c r="H6" s="29">
        <f>G6*(1+assumptions!H4)</f>
        <v>5763.9479040000015</v>
      </c>
      <c r="I6" s="29">
        <f>H6*(1+assumptions!I4)</f>
        <v>6340.3426944000021</v>
      </c>
      <c r="J6" s="29">
        <f>I6*(1+assumptions!J4)</f>
        <v>7037.7803907840016</v>
      </c>
    </row>
    <row r="7" spans="1:12" x14ac:dyDescent="0.2">
      <c r="A7" s="29"/>
      <c r="B7" s="32" t="s">
        <v>43</v>
      </c>
      <c r="C7" s="32">
        <v>13626</v>
      </c>
      <c r="D7" s="32">
        <v>12017</v>
      </c>
      <c r="E7" s="32">
        <v>12392</v>
      </c>
      <c r="F7" s="29">
        <f>E7*(1+assumptions!F4)</f>
        <v>13259.44</v>
      </c>
      <c r="G7" s="29">
        <f>F7*(1+assumptions!G4)</f>
        <v>14320.195200000002</v>
      </c>
      <c r="H7" s="29">
        <f>G7*(1+assumptions!H4)</f>
        <v>15609.012768000004</v>
      </c>
      <c r="I7" s="29">
        <f>H7*(1+assumptions!I4)</f>
        <v>17169.914044800007</v>
      </c>
      <c r="J7" s="29">
        <f>I7*(1+assumptions!J4)</f>
        <v>19058.604589728006</v>
      </c>
    </row>
    <row r="8" spans="1:12" x14ac:dyDescent="0.2">
      <c r="A8" s="29"/>
      <c r="B8" s="32" t="s">
        <v>44</v>
      </c>
      <c r="C8" s="32">
        <v>3388</v>
      </c>
      <c r="D8" s="32">
        <v>5362</v>
      </c>
      <c r="E8" s="32">
        <v>7615</v>
      </c>
      <c r="F8" s="29">
        <f>E8*(1+assumptions!F4)</f>
        <v>8148.05</v>
      </c>
      <c r="G8" s="29">
        <f>F8*(1+assumptions!G4)</f>
        <v>8799.8940000000002</v>
      </c>
      <c r="H8" s="29">
        <f>G8*(1+assumptions!H4)</f>
        <v>9591.8844600000011</v>
      </c>
      <c r="I8" s="29">
        <f>H8*(1+assumptions!I4)</f>
        <v>10551.072906000001</v>
      </c>
      <c r="J8" s="29">
        <f>I8*(1+assumptions!J4)</f>
        <v>11711.690925659999</v>
      </c>
    </row>
    <row r="9" spans="1:12" x14ac:dyDescent="0.2">
      <c r="A9" s="29"/>
      <c r="B9" s="32" t="s">
        <v>45</v>
      </c>
      <c r="C9" s="32" t="s">
        <v>15</v>
      </c>
      <c r="D9" s="32" t="s">
        <v>15</v>
      </c>
      <c r="E9" s="32" t="s">
        <v>15</v>
      </c>
      <c r="F9" s="32" t="s">
        <v>15</v>
      </c>
      <c r="G9" s="32" t="s">
        <v>15</v>
      </c>
      <c r="H9" s="32" t="s">
        <v>15</v>
      </c>
      <c r="I9" s="32" t="s">
        <v>15</v>
      </c>
      <c r="J9" s="32" t="s">
        <v>15</v>
      </c>
    </row>
    <row r="10" spans="1:12" s="54" customFormat="1" x14ac:dyDescent="0.2">
      <c r="A10" s="52"/>
      <c r="B10" s="53" t="s">
        <v>46</v>
      </c>
      <c r="C10" s="53">
        <f t="shared" ref="C10:J10" si="0">SUBTOTAL(109,C5:C9)</f>
        <v>49616</v>
      </c>
      <c r="D10" s="53">
        <f t="shared" si="0"/>
        <v>58360</v>
      </c>
      <c r="E10" s="53">
        <f t="shared" si="0"/>
        <v>68642</v>
      </c>
      <c r="F10" s="53">
        <f t="shared" si="0"/>
        <v>80379.65056052804</v>
      </c>
      <c r="G10" s="53">
        <f t="shared" si="0"/>
        <v>93656.107343676107</v>
      </c>
      <c r="H10" s="53">
        <f t="shared" si="0"/>
        <v>108808.91802990009</v>
      </c>
      <c r="I10" s="53">
        <f t="shared" si="0"/>
        <v>126147.29481116623</v>
      </c>
      <c r="J10" s="53">
        <f t="shared" si="0"/>
        <v>146181.87291548189</v>
      </c>
    </row>
    <row r="11" spans="1:12" x14ac:dyDescent="0.2">
      <c r="A11" s="29"/>
      <c r="B11" s="32" t="s">
        <v>47</v>
      </c>
      <c r="C11" s="32">
        <v>29725</v>
      </c>
      <c r="D11" s="32">
        <v>35836</v>
      </c>
      <c r="E11" s="32">
        <v>40643</v>
      </c>
      <c r="F11" s="29">
        <f>'Dep Capex Schedule'!F12</f>
        <v>34960.646670550319</v>
      </c>
      <c r="G11" s="29">
        <f>'Dep Capex Schedule'!G12</f>
        <v>28823.705074744666</v>
      </c>
      <c r="H11" s="29">
        <f>'Dep Capex Schedule'!H12</f>
        <v>22134.438735316504</v>
      </c>
      <c r="I11" s="29">
        <f>'Dep Capex Schedule'!I12</f>
        <v>14776.245761945527</v>
      </c>
      <c r="J11" s="29">
        <f>'Dep Capex Schedule'!J12</f>
        <v>6608.6515615037424</v>
      </c>
    </row>
    <row r="12" spans="1:12" x14ac:dyDescent="0.2">
      <c r="A12" s="29"/>
      <c r="B12" s="32" t="s">
        <v>48</v>
      </c>
      <c r="C12" s="32" t="s">
        <v>15</v>
      </c>
      <c r="D12" s="32" t="s">
        <v>15</v>
      </c>
      <c r="E12" s="32" t="s">
        <v>15</v>
      </c>
      <c r="F12" s="32" t="s">
        <v>15</v>
      </c>
      <c r="G12" s="32" t="s">
        <v>15</v>
      </c>
      <c r="H12" s="32" t="s">
        <v>15</v>
      </c>
      <c r="I12" s="32" t="s">
        <v>15</v>
      </c>
      <c r="J12" s="32" t="s">
        <v>15</v>
      </c>
    </row>
    <row r="13" spans="1:12" x14ac:dyDescent="0.2">
      <c r="A13" s="29"/>
      <c r="B13" s="32" t="s">
        <v>49</v>
      </c>
      <c r="C13" s="32">
        <v>431</v>
      </c>
      <c r="D13" s="32" t="s">
        <v>15</v>
      </c>
      <c r="E13" s="32" t="s">
        <v>15</v>
      </c>
      <c r="F13" s="32" t="s">
        <v>15</v>
      </c>
      <c r="G13" s="32" t="s">
        <v>15</v>
      </c>
      <c r="H13" s="32" t="s">
        <v>15</v>
      </c>
      <c r="I13" s="32" t="s">
        <v>15</v>
      </c>
      <c r="J13" s="32" t="s">
        <v>15</v>
      </c>
    </row>
    <row r="14" spans="1:12" x14ac:dyDescent="0.2">
      <c r="A14" s="29"/>
      <c r="B14" s="32" t="s">
        <v>50</v>
      </c>
      <c r="C14" s="32">
        <v>9944</v>
      </c>
      <c r="D14" s="32">
        <v>10609</v>
      </c>
      <c r="E14" s="32">
        <v>10657</v>
      </c>
      <c r="F14" s="29">
        <f>E14*(1+assumptions!F7)</f>
        <v>11367.136090468646</v>
      </c>
      <c r="G14" s="29">
        <f>F14*(1+assumptions!G7)</f>
        <v>12124.592558809687</v>
      </c>
      <c r="H14" s="29">
        <f>G14*(1+assumptions!H7)</f>
        <v>12932.522629020663</v>
      </c>
      <c r="I14" s="29">
        <f>H14*(1+assumptions!I7)</f>
        <v>13794.289642220441</v>
      </c>
      <c r="J14" s="29">
        <f>I14*(1+assumptions!J7)</f>
        <v>14713.481057939553</v>
      </c>
    </row>
    <row r="15" spans="1:12" x14ac:dyDescent="0.2">
      <c r="A15" s="29"/>
      <c r="B15" t="s">
        <v>75</v>
      </c>
      <c r="C15" s="32">
        <f>C16-SUM(C11:C14)</f>
        <v>16902</v>
      </c>
      <c r="D15" s="32">
        <f t="shared" ref="D15:E15" si="1">D16-SUM(D11:D14)</f>
        <v>17265</v>
      </c>
      <c r="E15" s="32">
        <f t="shared" si="1"/>
        <v>17864</v>
      </c>
      <c r="F15" s="29">
        <f>E15*(1+assumptions!F4)</f>
        <v>19114.48</v>
      </c>
      <c r="G15" s="29">
        <f>F15*(1+assumptions!G4)</f>
        <v>20643.6384</v>
      </c>
      <c r="H15" s="29">
        <f>G15*(1+assumptions!H4)</f>
        <v>22501.565856000001</v>
      </c>
      <c r="I15" s="29">
        <f>H15*(1+assumptions!I4)</f>
        <v>24751.722441600003</v>
      </c>
      <c r="J15" s="29">
        <f>I15*(1+assumptions!J4)</f>
        <v>27474.411910176001</v>
      </c>
    </row>
    <row r="16" spans="1:12" s="54" customFormat="1" x14ac:dyDescent="0.2">
      <c r="A16" s="52"/>
      <c r="B16" s="53" t="s">
        <v>51</v>
      </c>
      <c r="C16" s="53">
        <v>57002</v>
      </c>
      <c r="D16" s="53">
        <v>63710</v>
      </c>
      <c r="E16" s="53">
        <v>69164</v>
      </c>
      <c r="F16" s="52">
        <f>SUM(F11:F15)</f>
        <v>65442.262761018967</v>
      </c>
      <c r="G16" s="52">
        <f t="shared" ref="G16:J16" si="2">SUM(G11:G15)</f>
        <v>61591.936033554346</v>
      </c>
      <c r="H16" s="52">
        <f t="shared" si="2"/>
        <v>57568.527220337171</v>
      </c>
      <c r="I16" s="52">
        <f t="shared" si="2"/>
        <v>53322.257845765969</v>
      </c>
      <c r="J16" s="52">
        <f t="shared" si="2"/>
        <v>48796.544529619292</v>
      </c>
    </row>
    <row r="17" spans="1:10" s="48" customFormat="1" x14ac:dyDescent="0.2">
      <c r="A17" s="46"/>
      <c r="B17" s="47" t="s">
        <v>52</v>
      </c>
      <c r="C17" s="47">
        <f>C10+C16</f>
        <v>106618</v>
      </c>
      <c r="D17" s="47">
        <f t="shared" ref="D17:F17" si="3">D10+D16</f>
        <v>122070</v>
      </c>
      <c r="E17" s="47">
        <f t="shared" si="3"/>
        <v>137806</v>
      </c>
      <c r="F17" s="47">
        <f t="shared" si="3"/>
        <v>145821.91332154701</v>
      </c>
      <c r="G17" s="47">
        <f t="shared" ref="G17" si="4">G10+G16</f>
        <v>155248.04337723047</v>
      </c>
      <c r="H17" s="47">
        <f t="shared" ref="H17:I17" si="5">H10+H16</f>
        <v>166377.44525023724</v>
      </c>
      <c r="I17" s="47">
        <f t="shared" si="5"/>
        <v>179469.55265693221</v>
      </c>
      <c r="J17" s="47">
        <f t="shared" ref="J17" si="6">J10+J16</f>
        <v>194978.41744510119</v>
      </c>
    </row>
    <row r="18" spans="1:10" x14ac:dyDescent="0.2">
      <c r="A18" s="29"/>
      <c r="B18" s="32" t="s">
        <v>53</v>
      </c>
      <c r="C18" s="32">
        <v>28748</v>
      </c>
      <c r="D18" s="32">
        <v>28821</v>
      </c>
      <c r="E18" s="32">
        <v>31714</v>
      </c>
      <c r="F18" s="29">
        <f>'income statement'!F5*assumptions!F12</f>
        <v>30330.499686578147</v>
      </c>
      <c r="G18" s="29">
        <f>'income statement'!G5*assumptions!G12</f>
        <v>32797.316486987969</v>
      </c>
      <c r="H18" s="29">
        <f>'income statement'!H5*assumptions!H12</f>
        <v>35919.062028618893</v>
      </c>
      <c r="I18" s="29">
        <f>'income statement'!I5*assumptions!I12</f>
        <v>39370.173784507715</v>
      </c>
      <c r="J18" s="29">
        <f>'income statement'!J5*assumptions!J12</f>
        <v>43735.896059038212</v>
      </c>
    </row>
    <row r="19" spans="1:10" x14ac:dyDescent="0.2">
      <c r="A19" s="29"/>
      <c r="B19" s="32" t="s">
        <v>54</v>
      </c>
      <c r="C19" s="32">
        <v>2857</v>
      </c>
      <c r="D19" s="32">
        <v>5757</v>
      </c>
      <c r="E19" s="32">
        <v>6736</v>
      </c>
      <c r="F19" s="29" t="s">
        <v>15</v>
      </c>
      <c r="G19" s="29" t="s">
        <v>15</v>
      </c>
      <c r="H19" s="29" t="s">
        <v>15</v>
      </c>
      <c r="I19" s="29" t="s">
        <v>15</v>
      </c>
      <c r="J19" s="29" t="s">
        <v>15</v>
      </c>
    </row>
    <row r="20" spans="1:10" x14ac:dyDescent="0.2">
      <c r="A20" s="29"/>
      <c r="B20" s="32" t="s">
        <v>55</v>
      </c>
      <c r="C20" s="32">
        <v>8153</v>
      </c>
      <c r="D20" s="32">
        <v>10495</v>
      </c>
      <c r="E20" s="32">
        <v>12860</v>
      </c>
      <c r="F20" s="29" t="s">
        <v>15</v>
      </c>
      <c r="G20" s="29" t="s">
        <v>15</v>
      </c>
      <c r="H20" s="29" t="s">
        <v>15</v>
      </c>
      <c r="I20" s="29" t="s">
        <v>15</v>
      </c>
      <c r="J20" s="29" t="s">
        <v>15</v>
      </c>
    </row>
    <row r="21" spans="1:10" s="3" customFormat="1" x14ac:dyDescent="0.2">
      <c r="A21" s="30"/>
      <c r="B21" s="41" t="s">
        <v>56</v>
      </c>
      <c r="C21" s="41">
        <v>14503</v>
      </c>
      <c r="D21" s="41">
        <v>19632</v>
      </c>
      <c r="E21" s="41">
        <v>23285</v>
      </c>
      <c r="F21" s="30">
        <f>'Debt Schedule'!F9</f>
        <v>25666.666666666668</v>
      </c>
      <c r="G21" s="30">
        <v>25667</v>
      </c>
      <c r="H21" s="30">
        <v>25667</v>
      </c>
      <c r="I21" s="30">
        <v>25667</v>
      </c>
      <c r="J21" s="30">
        <v>25667</v>
      </c>
    </row>
    <row r="22" spans="1:10" s="54" customFormat="1" x14ac:dyDescent="0.2">
      <c r="A22" s="52"/>
      <c r="B22" s="53" t="s">
        <v>57</v>
      </c>
      <c r="C22" s="53">
        <f>C18+C21</f>
        <v>43251</v>
      </c>
      <c r="D22" s="53">
        <f t="shared" ref="D22:J22" si="7">D18+D21</f>
        <v>48453</v>
      </c>
      <c r="E22" s="53">
        <f t="shared" si="7"/>
        <v>54999</v>
      </c>
      <c r="F22" s="53">
        <f t="shared" si="7"/>
        <v>55997.166353244815</v>
      </c>
      <c r="G22" s="53">
        <f t="shared" si="7"/>
        <v>58464.316486987969</v>
      </c>
      <c r="H22" s="53">
        <f t="shared" si="7"/>
        <v>61586.062028618893</v>
      </c>
      <c r="I22" s="53">
        <f t="shared" si="7"/>
        <v>65037.173784507715</v>
      </c>
      <c r="J22" s="53">
        <f t="shared" si="7"/>
        <v>69402.896059038205</v>
      </c>
    </row>
    <row r="23" spans="1:10" x14ac:dyDescent="0.2">
      <c r="A23" s="29"/>
      <c r="B23" s="32" t="s">
        <v>58</v>
      </c>
      <c r="C23" s="32">
        <v>3</v>
      </c>
      <c r="D23" s="32">
        <v>3</v>
      </c>
      <c r="E23" s="32">
        <v>3</v>
      </c>
      <c r="F23" s="32">
        <v>3</v>
      </c>
      <c r="G23" s="32">
        <v>3</v>
      </c>
      <c r="H23" s="32">
        <v>3</v>
      </c>
      <c r="I23" s="32">
        <v>3</v>
      </c>
      <c r="J23" s="32">
        <v>3</v>
      </c>
    </row>
    <row r="24" spans="1:10" x14ac:dyDescent="0.2">
      <c r="A24" s="29"/>
      <c r="B24" s="32" t="s">
        <v>59</v>
      </c>
      <c r="C24" s="32">
        <v>27882</v>
      </c>
      <c r="D24" s="32">
        <v>35209</v>
      </c>
      <c r="E24" s="32">
        <v>39003</v>
      </c>
      <c r="F24" s="29">
        <f>E24+'income statement'!F24</f>
        <v>46114.893901628682</v>
      </c>
      <c r="G24" s="29">
        <f>F24+'income statement'!G24</f>
        <v>53713.179048720987</v>
      </c>
      <c r="H24" s="29">
        <f>G24+'income statement'!H24</f>
        <v>61902.429559051612</v>
      </c>
      <c r="I24" s="29">
        <f>H24+'income statement'!I24</f>
        <v>70807.404787081963</v>
      </c>
      <c r="J24" s="29">
        <f>I24+'income statement'!J24</f>
        <v>80578.406923528979</v>
      </c>
    </row>
    <row r="25" spans="1:10" x14ac:dyDescent="0.2">
      <c r="A25" s="29"/>
      <c r="B25" s="32" t="s">
        <v>60</v>
      </c>
      <c r="C25" s="32">
        <v>-143</v>
      </c>
      <c r="D25" s="32">
        <v>-670</v>
      </c>
      <c r="E25" s="32">
        <v>361</v>
      </c>
      <c r="F25" s="32">
        <v>361</v>
      </c>
      <c r="G25" s="32">
        <v>361</v>
      </c>
      <c r="H25" s="32">
        <v>361</v>
      </c>
      <c r="I25" s="32">
        <v>361</v>
      </c>
      <c r="J25" s="32">
        <v>361</v>
      </c>
    </row>
    <row r="26" spans="1:10" x14ac:dyDescent="0.2">
      <c r="A26" s="29"/>
      <c r="B26" t="s">
        <v>74</v>
      </c>
      <c r="C26" s="32">
        <f>C28-SUM(C23:C25)</f>
        <v>35625</v>
      </c>
      <c r="D26" s="32">
        <f t="shared" ref="D26:E26" si="8">D28-SUM(D23:D25)</f>
        <v>39075</v>
      </c>
      <c r="E26" s="32">
        <f t="shared" si="8"/>
        <v>43440</v>
      </c>
      <c r="F26" s="29">
        <f>F17-F22-F23-F24-F25-F27</f>
        <v>43345.85306667351</v>
      </c>
      <c r="G26" s="29">
        <f t="shared" ref="G26:J26" si="9">G17-G22-G23-G24-G25-G27</f>
        <v>42706.547841521511</v>
      </c>
      <c r="H26" s="29">
        <f t="shared" si="9"/>
        <v>42524.953662566739</v>
      </c>
      <c r="I26" s="29">
        <f t="shared" si="9"/>
        <v>43260.974085342532</v>
      </c>
      <c r="J26" s="29">
        <f t="shared" si="9"/>
        <v>44633.114462534009</v>
      </c>
    </row>
    <row r="27" spans="1:10" x14ac:dyDescent="0.2">
      <c r="A27" s="29"/>
      <c r="B27" s="32" t="s">
        <v>61</v>
      </c>
      <c r="C27" s="32" t="s">
        <v>15</v>
      </c>
      <c r="D27" s="32" t="s">
        <v>15</v>
      </c>
      <c r="E27" s="32" t="s">
        <v>15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</row>
    <row r="28" spans="1:10" s="54" customFormat="1" x14ac:dyDescent="0.2">
      <c r="A28" s="52"/>
      <c r="B28" s="53" t="s">
        <v>62</v>
      </c>
      <c r="C28" s="53">
        <v>63367</v>
      </c>
      <c r="D28" s="53">
        <v>73617</v>
      </c>
      <c r="E28" s="53">
        <v>82807</v>
      </c>
      <c r="F28" s="52">
        <f>SUM(F23:F27)</f>
        <v>89824.746968302192</v>
      </c>
      <c r="G28" s="52">
        <f t="shared" ref="G28:J28" si="10">SUM(G23:G27)</f>
        <v>96783.726890242498</v>
      </c>
      <c r="H28" s="52">
        <f t="shared" si="10"/>
        <v>104791.38322161835</v>
      </c>
      <c r="I28" s="52">
        <f t="shared" si="10"/>
        <v>114432.3788724245</v>
      </c>
      <c r="J28" s="52">
        <f t="shared" si="10"/>
        <v>125575.52138606299</v>
      </c>
    </row>
    <row r="29" spans="1:10" s="48" customFormat="1" x14ac:dyDescent="0.2">
      <c r="A29" s="46"/>
      <c r="B29" s="47" t="s">
        <v>63</v>
      </c>
      <c r="C29" s="47">
        <f>C22+C28</f>
        <v>106618</v>
      </c>
      <c r="D29" s="47">
        <f t="shared" ref="D29:J29" si="11">D22+D28</f>
        <v>122070</v>
      </c>
      <c r="E29" s="47">
        <f t="shared" si="11"/>
        <v>137806</v>
      </c>
      <c r="F29" s="47">
        <f t="shared" si="11"/>
        <v>145821.91332154701</v>
      </c>
      <c r="G29" s="47">
        <f t="shared" si="11"/>
        <v>155248.04337723047</v>
      </c>
      <c r="H29" s="47">
        <f t="shared" si="11"/>
        <v>166377.44525023724</v>
      </c>
      <c r="I29" s="47">
        <f t="shared" si="11"/>
        <v>179469.55265693221</v>
      </c>
      <c r="J29" s="47">
        <f t="shared" si="11"/>
        <v>194978.41744510119</v>
      </c>
    </row>
    <row r="30" spans="1:10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0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spans="1:10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10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3AF5-5A58-FE4D-9CCF-BE8743D26233}">
  <sheetPr>
    <tabColor rgb="FFFF8AD8"/>
  </sheetPr>
  <dimension ref="A1:L35"/>
  <sheetViews>
    <sheetView showGridLines="0" zoomScaleNormal="82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6" sqref="M16"/>
    </sheetView>
  </sheetViews>
  <sheetFormatPr baseColWidth="10" defaultRowHeight="16" x14ac:dyDescent="0.2"/>
  <cols>
    <col min="2" max="2" width="48.6640625" bestFit="1" customWidth="1"/>
  </cols>
  <sheetData>
    <row r="1" spans="1:12" s="5" customFormat="1" ht="26" x14ac:dyDescent="0.3">
      <c r="A1" s="67"/>
      <c r="B1" s="68" t="s">
        <v>121</v>
      </c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2">
      <c r="A2" s="29"/>
      <c r="B2" s="29"/>
      <c r="C2" s="29"/>
      <c r="D2" s="29"/>
      <c r="E2" s="30" t="s">
        <v>8</v>
      </c>
      <c r="F2" s="29"/>
      <c r="G2" s="29"/>
      <c r="H2" s="29"/>
      <c r="I2" s="29"/>
      <c r="J2" s="29"/>
    </row>
    <row r="3" spans="1:12" s="51" customFormat="1" x14ac:dyDescent="0.2">
      <c r="A3" s="49"/>
      <c r="B3" s="49" t="s">
        <v>9</v>
      </c>
      <c r="C3" s="49" t="s">
        <v>0</v>
      </c>
      <c r="D3" s="49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/>
      <c r="L3" s="50"/>
    </row>
    <row r="4" spans="1:12" x14ac:dyDescent="0.2">
      <c r="A4" s="29"/>
      <c r="B4" s="32" t="s">
        <v>90</v>
      </c>
      <c r="C4" s="32">
        <v>14974</v>
      </c>
      <c r="D4" s="32">
        <v>7153</v>
      </c>
      <c r="E4" s="32">
        <v>3855</v>
      </c>
      <c r="F4" s="29">
        <f>'income statement'!F24</f>
        <v>7111.8939016286831</v>
      </c>
      <c r="G4" s="29">
        <f>'income statement'!G24</f>
        <v>7598.2851470923069</v>
      </c>
      <c r="H4" s="29">
        <f>'income statement'!H24</f>
        <v>8189.2505103306239</v>
      </c>
      <c r="I4" s="29">
        <f>'income statement'!I24</f>
        <v>8904.9752280303474</v>
      </c>
      <c r="J4" s="29">
        <f>'income statement'!J24</f>
        <v>9771.0021364470158</v>
      </c>
    </row>
    <row r="5" spans="1:12" x14ac:dyDescent="0.2">
      <c r="A5" s="29"/>
      <c r="B5" s="32" t="s">
        <v>91</v>
      </c>
      <c r="C5" s="32">
        <v>4667</v>
      </c>
      <c r="D5" s="32">
        <v>5368</v>
      </c>
      <c r="E5" s="32">
        <v>6148</v>
      </c>
      <c r="F5" s="29">
        <f>'Dep Capex Schedule'!F6</f>
        <v>5682.3533294496783</v>
      </c>
      <c r="G5" s="29">
        <f>'Dep Capex Schedule'!G6</f>
        <v>6136.9415958056525</v>
      </c>
      <c r="H5" s="29">
        <f>'Dep Capex Schedule'!H6</f>
        <v>6689.2663394281617</v>
      </c>
      <c r="I5" s="29">
        <f>'Dep Capex Schedule'!I6</f>
        <v>7358.1929733709776</v>
      </c>
      <c r="J5" s="29">
        <f>'Dep Capex Schedule'!J6</f>
        <v>8167.5942004417848</v>
      </c>
    </row>
    <row r="6" spans="1:12" x14ac:dyDescent="0.2">
      <c r="A6" s="29"/>
      <c r="B6" s="32" t="s">
        <v>92</v>
      </c>
      <c r="C6" s="32">
        <v>-4137</v>
      </c>
      <c r="D6" s="32">
        <v>2321</v>
      </c>
      <c r="E6" s="32">
        <v>4102</v>
      </c>
      <c r="F6" s="29"/>
      <c r="G6" s="29"/>
      <c r="H6" s="29"/>
      <c r="I6" s="29"/>
      <c r="J6" s="29"/>
    </row>
    <row r="7" spans="1:12" x14ac:dyDescent="0.2">
      <c r="A7" s="29"/>
      <c r="B7" s="32" t="s">
        <v>93</v>
      </c>
      <c r="C7" s="29">
        <f t="shared" ref="C7:J7" si="0">SUM(C5:C6)</f>
        <v>530</v>
      </c>
      <c r="D7" s="29">
        <f t="shared" si="0"/>
        <v>7689</v>
      </c>
      <c r="E7" s="29">
        <f t="shared" si="0"/>
        <v>10250</v>
      </c>
      <c r="F7" s="29">
        <f>SUM(F5:F6)</f>
        <v>5682.3533294496783</v>
      </c>
      <c r="G7" s="29">
        <f t="shared" si="0"/>
        <v>6136.9415958056525</v>
      </c>
      <c r="H7" s="29">
        <f t="shared" si="0"/>
        <v>6689.2663394281617</v>
      </c>
      <c r="I7" s="29">
        <f t="shared" si="0"/>
        <v>7358.1929733709776</v>
      </c>
      <c r="J7" s="29">
        <f t="shared" si="0"/>
        <v>8167.5942004417848</v>
      </c>
    </row>
    <row r="8" spans="1:12" x14ac:dyDescent="0.2">
      <c r="A8" s="29"/>
      <c r="B8" s="32" t="s">
        <v>94</v>
      </c>
      <c r="C8" s="32">
        <v>-586</v>
      </c>
      <c r="D8" s="32">
        <v>-1083</v>
      </c>
      <c r="E8" s="32">
        <v>-261</v>
      </c>
      <c r="F8" s="29">
        <f>'Working Capital Schedule'!E5-'Working Capital Schedule'!F5</f>
        <v>-320.32000000000062</v>
      </c>
      <c r="G8" s="29">
        <f>'Working Capital Schedule'!F5-'Working Capital Schedule'!G5</f>
        <v>-391.70560000000023</v>
      </c>
      <c r="H8" s="29">
        <f>'Working Capital Schedule'!G5-'Working Capital Schedule'!H5</f>
        <v>-475.92230400000062</v>
      </c>
      <c r="I8" s="29">
        <f>'Working Capital Schedule'!H5-'Working Capital Schedule'!I5</f>
        <v>-576.3947904000006</v>
      </c>
      <c r="J8" s="29">
        <f>'Working Capital Schedule'!I5-'Working Capital Schedule'!J5</f>
        <v>-697.43769638399954</v>
      </c>
    </row>
    <row r="9" spans="1:12" x14ac:dyDescent="0.2">
      <c r="A9" s="29"/>
      <c r="B9" s="32" t="s">
        <v>95</v>
      </c>
      <c r="C9" s="32">
        <v>-1195</v>
      </c>
      <c r="D9" s="32">
        <v>937</v>
      </c>
      <c r="E9" s="32">
        <v>-630</v>
      </c>
      <c r="F9" s="29">
        <f>'Working Capital Schedule'!E6-'Working Capital Schedule'!F6</f>
        <v>-867.44000000000051</v>
      </c>
      <c r="G9" s="29">
        <f>'Working Capital Schedule'!F6-'Working Capital Schedule'!G6</f>
        <v>-1060.7552000000014</v>
      </c>
      <c r="H9" s="29">
        <f>'Working Capital Schedule'!G6-'Working Capital Schedule'!H6</f>
        <v>-1288.8175680000022</v>
      </c>
      <c r="I9" s="29">
        <f>'Working Capital Schedule'!H6-'Working Capital Schedule'!I6</f>
        <v>-1560.901276800003</v>
      </c>
      <c r="J9" s="29">
        <f>'Working Capital Schedule'!I6-'Working Capital Schedule'!J6</f>
        <v>-1888.6905449279984</v>
      </c>
    </row>
    <row r="10" spans="1:12" x14ac:dyDescent="0.2">
      <c r="A10" s="29"/>
      <c r="B10" s="32" t="s">
        <v>96</v>
      </c>
      <c r="C10" s="32" t="s">
        <v>15</v>
      </c>
      <c r="D10" s="32" t="s">
        <v>15</v>
      </c>
      <c r="E10" s="32" t="s">
        <v>15</v>
      </c>
      <c r="F10" s="32" t="s">
        <v>15</v>
      </c>
      <c r="G10" s="32" t="s">
        <v>15</v>
      </c>
      <c r="H10" s="32" t="s">
        <v>15</v>
      </c>
      <c r="I10" s="32" t="s">
        <v>15</v>
      </c>
      <c r="J10" s="32" t="s">
        <v>15</v>
      </c>
    </row>
    <row r="11" spans="1:12" x14ac:dyDescent="0.2">
      <c r="A11" s="29"/>
      <c r="B11" s="32" t="s">
        <v>97</v>
      </c>
      <c r="C11" s="32">
        <v>-3072</v>
      </c>
      <c r="D11" s="32">
        <v>-3361</v>
      </c>
      <c r="E11" s="32">
        <v>-2843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</row>
    <row r="12" spans="1:12" x14ac:dyDescent="0.2">
      <c r="A12" s="29"/>
      <c r="B12" s="32" t="s">
        <v>98</v>
      </c>
      <c r="C12" s="32">
        <v>-2248</v>
      </c>
      <c r="D12" s="32">
        <v>81</v>
      </c>
      <c r="E12" s="32">
        <v>642</v>
      </c>
      <c r="F12" s="29">
        <f t="shared" ref="F12:I12" si="1">SUBTOTAL(109,F8:F11)</f>
        <v>-1187.7600000000011</v>
      </c>
      <c r="G12" s="29">
        <f t="shared" si="1"/>
        <v>-1452.4608000000017</v>
      </c>
      <c r="H12" s="29">
        <f t="shared" si="1"/>
        <v>-1764.7398720000028</v>
      </c>
      <c r="I12" s="29">
        <f t="shared" si="1"/>
        <v>-2137.2960672000036</v>
      </c>
      <c r="J12" s="29">
        <f>SUBTOTAL(109,J8:J11)</f>
        <v>-2586.128241311998</v>
      </c>
    </row>
    <row r="13" spans="1:12" s="74" customFormat="1" x14ac:dyDescent="0.2">
      <c r="A13" s="72"/>
      <c r="B13" s="73" t="s">
        <v>99</v>
      </c>
      <c r="C13" s="73">
        <v>13256</v>
      </c>
      <c r="D13" s="73">
        <v>14923</v>
      </c>
      <c r="E13" s="73">
        <v>14747</v>
      </c>
      <c r="F13" s="72">
        <f>F4+F7+F12</f>
        <v>11606.487231078361</v>
      </c>
      <c r="G13" s="72">
        <f t="shared" ref="G13:J13" si="2">G4+G7+G12</f>
        <v>12282.765942897957</v>
      </c>
      <c r="H13" s="72">
        <f t="shared" si="2"/>
        <v>13113.776977758782</v>
      </c>
      <c r="I13" s="72">
        <f t="shared" si="2"/>
        <v>14125.87213420132</v>
      </c>
      <c r="J13" s="72">
        <f t="shared" si="2"/>
        <v>15352.468095576802</v>
      </c>
    </row>
    <row r="14" spans="1:12" x14ac:dyDescent="0.2">
      <c r="A14" s="29"/>
      <c r="B14" s="41" t="s">
        <v>100</v>
      </c>
      <c r="C14" s="32">
        <v>-8899</v>
      </c>
      <c r="D14" s="32">
        <v>-11342</v>
      </c>
      <c r="E14" s="32">
        <v>-8527</v>
      </c>
      <c r="F14" s="29">
        <f>'Dep Capex Schedule'!E12-'Dep Capex Schedule'!F12</f>
        <v>5682.353329449681</v>
      </c>
      <c r="G14" s="29">
        <f>'Dep Capex Schedule'!F12-'Dep Capex Schedule'!G12</f>
        <v>6136.9415958056525</v>
      </c>
      <c r="H14" s="29">
        <f>'Dep Capex Schedule'!G12-'Dep Capex Schedule'!H12</f>
        <v>6689.2663394281626</v>
      </c>
      <c r="I14" s="29">
        <f>'Dep Capex Schedule'!H12-'Dep Capex Schedule'!I12</f>
        <v>7358.1929733709767</v>
      </c>
      <c r="J14" s="29">
        <f>'Dep Capex Schedule'!I12-'Dep Capex Schedule'!J12</f>
        <v>8167.5942004417848</v>
      </c>
    </row>
    <row r="15" spans="1:12" x14ac:dyDescent="0.2">
      <c r="A15" s="29"/>
      <c r="B15" s="41" t="s">
        <v>101</v>
      </c>
      <c r="C15" s="32" t="s">
        <v>15</v>
      </c>
      <c r="D15" s="32" t="s">
        <v>15</v>
      </c>
      <c r="E15" s="32" t="s">
        <v>15</v>
      </c>
      <c r="F15" s="32" t="s">
        <v>15</v>
      </c>
      <c r="G15" s="32" t="s">
        <v>15</v>
      </c>
      <c r="H15" s="32" t="s">
        <v>15</v>
      </c>
      <c r="I15" s="32" t="s">
        <v>15</v>
      </c>
      <c r="J15" s="32" t="s">
        <v>15</v>
      </c>
    </row>
    <row r="16" spans="1:12" x14ac:dyDescent="0.2">
      <c r="A16" s="29"/>
      <c r="B16" s="41" t="s">
        <v>102</v>
      </c>
      <c r="C16" s="32">
        <v>-64</v>
      </c>
      <c r="D16" s="32" t="s">
        <v>15</v>
      </c>
      <c r="E16" s="32" t="s">
        <v>15</v>
      </c>
      <c r="F16" s="32" t="s">
        <v>15</v>
      </c>
      <c r="G16" s="32" t="s">
        <v>15</v>
      </c>
      <c r="H16" s="32" t="s">
        <v>15</v>
      </c>
      <c r="I16" s="32" t="s">
        <v>15</v>
      </c>
      <c r="J16" s="32" t="s">
        <v>15</v>
      </c>
    </row>
    <row r="17" spans="1:10" x14ac:dyDescent="0.2">
      <c r="A17" s="29"/>
      <c r="B17" s="32" t="s">
        <v>103</v>
      </c>
      <c r="C17" s="32">
        <v>-6759</v>
      </c>
      <c r="D17" s="32">
        <v>-7645</v>
      </c>
      <c r="E17" s="32">
        <v>-6951</v>
      </c>
      <c r="F17" s="29">
        <f>assumptions!F28</f>
        <v>-7118.333333333333</v>
      </c>
      <c r="G17" s="29">
        <f>assumptions!G28</f>
        <v>-7118.333333333333</v>
      </c>
      <c r="H17" s="29">
        <f>assumptions!H28</f>
        <v>-7118.333333333333</v>
      </c>
      <c r="I17" s="29">
        <f>assumptions!I28</f>
        <v>-7118.333333333333</v>
      </c>
      <c r="J17" s="29">
        <f>assumptions!J28</f>
        <v>-7118.333333333333</v>
      </c>
    </row>
    <row r="18" spans="1:10" x14ac:dyDescent="0.2">
      <c r="A18" s="29"/>
      <c r="B18" s="32" t="s">
        <v>104</v>
      </c>
      <c r="C18" s="32">
        <v>138</v>
      </c>
      <c r="D18" s="32">
        <v>200</v>
      </c>
      <c r="E18" s="32" t="s">
        <v>15</v>
      </c>
      <c r="F18" s="32" t="s">
        <v>15</v>
      </c>
      <c r="G18" s="32" t="s">
        <v>15</v>
      </c>
      <c r="H18" s="32" t="s">
        <v>15</v>
      </c>
      <c r="I18" s="32" t="s">
        <v>15</v>
      </c>
      <c r="J18" s="32" t="s">
        <v>15</v>
      </c>
    </row>
    <row r="19" spans="1:10" s="3" customFormat="1" x14ac:dyDescent="0.2">
      <c r="A19" s="30"/>
      <c r="B19" s="41" t="s">
        <v>105</v>
      </c>
      <c r="C19" s="41">
        <v>-6621</v>
      </c>
      <c r="D19" s="41">
        <v>-7445</v>
      </c>
      <c r="E19" s="41">
        <v>-6951</v>
      </c>
      <c r="F19" s="30">
        <f>SUM(F17:F18)</f>
        <v>-7118.333333333333</v>
      </c>
      <c r="G19" s="30">
        <f t="shared" ref="G19:J19" si="3">SUM(G17:G18)</f>
        <v>-7118.333333333333</v>
      </c>
      <c r="H19" s="30">
        <f t="shared" si="3"/>
        <v>-7118.333333333333</v>
      </c>
      <c r="I19" s="30">
        <f t="shared" si="3"/>
        <v>-7118.333333333333</v>
      </c>
      <c r="J19" s="30">
        <f t="shared" si="3"/>
        <v>-7118.333333333333</v>
      </c>
    </row>
    <row r="20" spans="1:10" x14ac:dyDescent="0.2">
      <c r="A20" s="29"/>
      <c r="B20" s="32" t="s">
        <v>106</v>
      </c>
      <c r="C20" s="32" t="s">
        <v>15</v>
      </c>
      <c r="D20" s="32" t="s">
        <v>15</v>
      </c>
      <c r="E20" s="32" t="s">
        <v>15</v>
      </c>
      <c r="F20" s="32" t="s">
        <v>15</v>
      </c>
      <c r="G20" s="32" t="s">
        <v>15</v>
      </c>
      <c r="H20" s="32" t="s">
        <v>15</v>
      </c>
      <c r="I20" s="32" t="s">
        <v>15</v>
      </c>
      <c r="J20" s="32" t="s">
        <v>15</v>
      </c>
    </row>
    <row r="21" spans="1:10" s="74" customFormat="1" x14ac:dyDescent="0.2">
      <c r="A21" s="72"/>
      <c r="B21" s="73" t="s">
        <v>107</v>
      </c>
      <c r="C21" s="73">
        <v>-15584</v>
      </c>
      <c r="D21" s="73">
        <f t="shared" ref="D21" si="4">D14+D19</f>
        <v>-18787</v>
      </c>
      <c r="E21" s="73">
        <f>E14+E19</f>
        <v>-15478</v>
      </c>
      <c r="F21" s="72">
        <f>F14+F19</f>
        <v>-1435.980003883652</v>
      </c>
      <c r="G21" s="72">
        <f t="shared" ref="G21:J21" si="5">G14+G19</f>
        <v>-981.39173752768056</v>
      </c>
      <c r="H21" s="72">
        <f t="shared" si="5"/>
        <v>-429.06699390517042</v>
      </c>
      <c r="I21" s="72">
        <f t="shared" si="5"/>
        <v>239.85964003764366</v>
      </c>
      <c r="J21" s="72">
        <f t="shared" si="5"/>
        <v>1049.2608671084517</v>
      </c>
    </row>
    <row r="22" spans="1:10" x14ac:dyDescent="0.2">
      <c r="A22" s="29"/>
      <c r="B22" s="32" t="s">
        <v>108</v>
      </c>
      <c r="C22" s="32">
        <v>2116</v>
      </c>
      <c r="D22" s="32">
        <v>2863</v>
      </c>
      <c r="E22" s="32">
        <v>-64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</row>
    <row r="23" spans="1:10" x14ac:dyDescent="0.2">
      <c r="A23" s="29"/>
      <c r="B23" s="32" t="s">
        <v>109</v>
      </c>
      <c r="C23" s="32" t="s">
        <v>15</v>
      </c>
      <c r="D23" s="32" t="s">
        <v>15</v>
      </c>
      <c r="E23" s="32" t="s">
        <v>15</v>
      </c>
      <c r="F23" s="32" t="s">
        <v>15</v>
      </c>
      <c r="G23" s="32" t="s">
        <v>15</v>
      </c>
      <c r="H23" s="32" t="s">
        <v>15</v>
      </c>
      <c r="I23" s="32" t="s">
        <v>15</v>
      </c>
      <c r="J23" s="32" t="s">
        <v>15</v>
      </c>
    </row>
    <row r="24" spans="1:10" s="3" customFormat="1" x14ac:dyDescent="0.2">
      <c r="A24" s="30"/>
      <c r="B24" s="41" t="s">
        <v>110</v>
      </c>
      <c r="C24" s="41">
        <f t="shared" ref="C24:D24" si="6">SUM(C22:C23)</f>
        <v>2116</v>
      </c>
      <c r="D24" s="41">
        <f t="shared" si="6"/>
        <v>2863</v>
      </c>
      <c r="E24" s="41">
        <f>SUM(E22:E23)</f>
        <v>-64</v>
      </c>
      <c r="F24" s="41">
        <f t="shared" ref="F24" si="7">SUM(F22:F23)</f>
        <v>0</v>
      </c>
      <c r="G24" s="41">
        <f t="shared" ref="G24:H24" si="8">SUM(G22:G23)</f>
        <v>0</v>
      </c>
      <c r="H24" s="41">
        <f t="shared" si="8"/>
        <v>0</v>
      </c>
      <c r="I24" s="41">
        <f t="shared" ref="I24" si="9">SUM(I22:I23)</f>
        <v>0</v>
      </c>
      <c r="J24" s="41">
        <f t="shared" ref="J24" si="10">SUM(J22:J23)</f>
        <v>0</v>
      </c>
    </row>
    <row r="25" spans="1:10" x14ac:dyDescent="0.2">
      <c r="A25" s="29"/>
      <c r="B25" s="32" t="s">
        <v>111</v>
      </c>
      <c r="C25" s="32">
        <v>700</v>
      </c>
      <c r="D25" s="32">
        <v>1241</v>
      </c>
      <c r="E25" s="32">
        <v>1186</v>
      </c>
      <c r="F25" s="29"/>
      <c r="G25" s="29"/>
      <c r="H25" s="29"/>
      <c r="I25" s="29"/>
      <c r="J25" s="29"/>
    </row>
    <row r="26" spans="1:10" s="3" customFormat="1" x14ac:dyDescent="0.2">
      <c r="A26" s="30"/>
      <c r="B26" s="41" t="s">
        <v>112</v>
      </c>
      <c r="C26" s="41">
        <f>C25</f>
        <v>700</v>
      </c>
      <c r="D26" s="41">
        <f t="shared" ref="D26:J26" si="11">D25</f>
        <v>1241</v>
      </c>
      <c r="E26" s="41">
        <f t="shared" si="11"/>
        <v>1186</v>
      </c>
      <c r="F26" s="41">
        <f t="shared" si="11"/>
        <v>0</v>
      </c>
      <c r="G26" s="41">
        <f t="shared" si="11"/>
        <v>0</v>
      </c>
      <c r="H26" s="41">
        <f t="shared" si="11"/>
        <v>0</v>
      </c>
      <c r="I26" s="41">
        <f t="shared" si="11"/>
        <v>0</v>
      </c>
      <c r="J26" s="41">
        <f t="shared" si="11"/>
        <v>0</v>
      </c>
    </row>
    <row r="27" spans="1:10" x14ac:dyDescent="0.2">
      <c r="A27" s="29"/>
      <c r="B27" s="32" t="s">
        <v>113</v>
      </c>
      <c r="C27" s="32" t="s">
        <v>15</v>
      </c>
      <c r="D27" s="32" t="s">
        <v>15</v>
      </c>
      <c r="E27" s="32" t="s">
        <v>15</v>
      </c>
      <c r="F27" s="32" t="s">
        <v>15</v>
      </c>
      <c r="G27" s="32" t="s">
        <v>15</v>
      </c>
      <c r="H27" s="32" t="s">
        <v>15</v>
      </c>
      <c r="I27" s="32" t="s">
        <v>15</v>
      </c>
      <c r="J27" s="32" t="s">
        <v>15</v>
      </c>
    </row>
    <row r="28" spans="1:10" x14ac:dyDescent="0.2">
      <c r="A28" s="29"/>
      <c r="B28" s="32" t="s">
        <v>114</v>
      </c>
      <c r="C28" s="32">
        <v>-227</v>
      </c>
      <c r="D28" s="32">
        <v>-251</v>
      </c>
      <c r="E28" s="32">
        <v>17</v>
      </c>
      <c r="F28" s="29">
        <f>assumptions!F29</f>
        <v>-153.66666666666666</v>
      </c>
      <c r="G28" s="29">
        <f>assumptions!G29</f>
        <v>-129.2222222222222</v>
      </c>
      <c r="H28" s="29">
        <f>assumptions!H29</f>
        <v>-88.629629629629619</v>
      </c>
      <c r="I28" s="29">
        <f>assumptions!I29</f>
        <v>-123.83950617283949</v>
      </c>
      <c r="J28" s="29">
        <f>assumptions!J29</f>
        <v>-113.89711934156378</v>
      </c>
    </row>
    <row r="29" spans="1:10" s="74" customFormat="1" x14ac:dyDescent="0.2">
      <c r="A29" s="72"/>
      <c r="B29" s="73" t="s">
        <v>115</v>
      </c>
      <c r="C29" s="73">
        <f>C24+C26+C28</f>
        <v>2589</v>
      </c>
      <c r="D29" s="73">
        <f t="shared" ref="D29:F29" si="12">D24+D26+D28</f>
        <v>3853</v>
      </c>
      <c r="E29" s="73">
        <f t="shared" si="12"/>
        <v>1139</v>
      </c>
      <c r="F29" s="73">
        <f t="shared" si="12"/>
        <v>-153.66666666666666</v>
      </c>
      <c r="G29" s="73">
        <f t="shared" ref="G29" si="13">G24+G26+G28</f>
        <v>-129.2222222222222</v>
      </c>
      <c r="H29" s="73">
        <f t="shared" ref="H29" si="14">H24+H26+H28</f>
        <v>-88.629629629629619</v>
      </c>
      <c r="I29" s="73">
        <f t="shared" ref="I29" si="15">I24+I26+I28</f>
        <v>-123.83950617283949</v>
      </c>
      <c r="J29" s="73">
        <f t="shared" ref="J29" si="16">J24+J26+J28</f>
        <v>-113.89711934156378</v>
      </c>
    </row>
    <row r="30" spans="1:10" s="71" customFormat="1" x14ac:dyDescent="0.2">
      <c r="A30" s="69"/>
      <c r="B30" s="70" t="s">
        <v>116</v>
      </c>
      <c r="C30" s="70">
        <f>C13+C21+C29</f>
        <v>261</v>
      </c>
      <c r="D30" s="70">
        <v>-152</v>
      </c>
      <c r="E30" s="70">
        <v>579</v>
      </c>
      <c r="F30" s="70">
        <f>F13+F21+F29</f>
        <v>10016.840560528044</v>
      </c>
      <c r="G30" s="70">
        <f t="shared" ref="G30:J30" si="17">G13+G21+G29</f>
        <v>11172.151983148055</v>
      </c>
      <c r="H30" s="70">
        <f t="shared" si="17"/>
        <v>12596.080354223983</v>
      </c>
      <c r="I30" s="70">
        <f t="shared" si="17"/>
        <v>14241.892268066125</v>
      </c>
      <c r="J30" s="70">
        <f t="shared" si="17"/>
        <v>16287.831843343691</v>
      </c>
    </row>
    <row r="31" spans="1:10" s="71" customFormat="1" x14ac:dyDescent="0.2">
      <c r="A31" s="69"/>
      <c r="B31" s="70" t="s">
        <v>117</v>
      </c>
      <c r="C31" s="70">
        <v>1812</v>
      </c>
      <c r="D31" s="70">
        <v>1999</v>
      </c>
      <c r="E31" s="70">
        <v>2825</v>
      </c>
      <c r="F31" s="69">
        <f>E31*(1+assumptions!F32)</f>
        <v>3463.3991008848511</v>
      </c>
      <c r="G31" s="69">
        <f>F31*(1+assumptions!G32)</f>
        <v>4246.0648962867235</v>
      </c>
      <c r="H31" s="69">
        <f>G31*(1+assumptions!H32)</f>
        <v>5205.5990598577582</v>
      </c>
      <c r="I31" s="69">
        <f>H31*(1+assumptions!I32)</f>
        <v>6381.9706560985433</v>
      </c>
      <c r="J31" s="69">
        <f>I31*(1+assumptions!J32)</f>
        <v>7824.1810379487424</v>
      </c>
    </row>
    <row r="32" spans="1:10" x14ac:dyDescent="0.2">
      <c r="A32" s="29"/>
      <c r="B32" s="32" t="s">
        <v>118</v>
      </c>
      <c r="C32" s="32" t="s">
        <v>15</v>
      </c>
      <c r="D32" s="32" t="s">
        <v>15</v>
      </c>
      <c r="E32" s="32" t="s">
        <v>15</v>
      </c>
      <c r="F32" s="32" t="s">
        <v>15</v>
      </c>
      <c r="G32" s="32" t="s">
        <v>15</v>
      </c>
      <c r="H32" s="32" t="s">
        <v>15</v>
      </c>
      <c r="I32" s="32" t="s">
        <v>15</v>
      </c>
      <c r="J32" s="32" t="s">
        <v>15</v>
      </c>
    </row>
    <row r="33" spans="1:10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5" spans="1:10" x14ac:dyDescent="0.2">
      <c r="G3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F309-1CC7-D54F-9B8B-1F053AC372EC}">
  <sheetPr>
    <tabColor rgb="FF002060"/>
  </sheetPr>
  <dimension ref="A2:L17"/>
  <sheetViews>
    <sheetView showGridLines="0" zoomScale="15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7" sqref="A10:XFD17"/>
    </sheetView>
  </sheetViews>
  <sheetFormatPr baseColWidth="10" defaultRowHeight="16" x14ac:dyDescent="0.2"/>
  <cols>
    <col min="1" max="1" width="2" customWidth="1"/>
    <col min="2" max="2" width="24.83203125" bestFit="1" customWidth="1"/>
  </cols>
  <sheetData>
    <row r="2" spans="1:12" s="65" customFormat="1" x14ac:dyDescent="0.2">
      <c r="B2" s="51" t="s">
        <v>89</v>
      </c>
      <c r="F2" s="51" t="s">
        <v>8</v>
      </c>
    </row>
    <row r="3" spans="1:12" s="51" customFormat="1" x14ac:dyDescent="0.2">
      <c r="A3" s="49"/>
      <c r="B3" s="49" t="s">
        <v>9</v>
      </c>
      <c r="C3" s="49" t="s">
        <v>0</v>
      </c>
      <c r="D3" s="49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/>
      <c r="L3" s="50"/>
    </row>
    <row r="5" spans="1:12" x14ac:dyDescent="0.2">
      <c r="B5" s="58" t="s">
        <v>76</v>
      </c>
      <c r="C5" s="55"/>
      <c r="D5" s="55"/>
      <c r="E5" s="59"/>
      <c r="F5" s="59"/>
      <c r="G5" s="59"/>
      <c r="H5" s="59"/>
      <c r="I5" s="59"/>
      <c r="J5" s="59"/>
    </row>
    <row r="6" spans="1:12" x14ac:dyDescent="0.2">
      <c r="B6" s="55" t="s">
        <v>77</v>
      </c>
      <c r="C6" s="55"/>
      <c r="D6" s="55"/>
      <c r="E6" s="59"/>
      <c r="F6" s="59">
        <f>E9</f>
        <v>23285</v>
      </c>
      <c r="G6" s="59">
        <f>F9</f>
        <v>25666.666666666668</v>
      </c>
      <c r="H6" s="59">
        <f>G9</f>
        <v>28048.333333333336</v>
      </c>
      <c r="I6" s="59">
        <f>H9</f>
        <v>30430.000000000004</v>
      </c>
      <c r="J6" s="59">
        <f>I9</f>
        <v>32811.666666666672</v>
      </c>
    </row>
    <row r="7" spans="1:12" x14ac:dyDescent="0.2">
      <c r="B7" s="55" t="s">
        <v>78</v>
      </c>
      <c r="C7" s="55"/>
      <c r="D7" s="55"/>
      <c r="E7" s="59"/>
      <c r="F7" s="60">
        <f>assumptions!F15</f>
        <v>4381.666666666667</v>
      </c>
      <c r="G7" s="60">
        <f>assumptions!G15</f>
        <v>4381.666666666667</v>
      </c>
      <c r="H7" s="60">
        <f>assumptions!H15</f>
        <v>4381.666666666667</v>
      </c>
      <c r="I7" s="60">
        <f>assumptions!I15</f>
        <v>4381.666666666667</v>
      </c>
      <c r="J7" s="60">
        <f>assumptions!J15</f>
        <v>4381.666666666667</v>
      </c>
    </row>
    <row r="8" spans="1:12" x14ac:dyDescent="0.2">
      <c r="B8" s="55" t="s">
        <v>79</v>
      </c>
      <c r="C8" s="55"/>
      <c r="D8" s="55"/>
      <c r="E8" s="59"/>
      <c r="F8" s="60">
        <f>assumptions!F14</f>
        <v>-2000</v>
      </c>
      <c r="G8" s="60">
        <f>assumptions!G14</f>
        <v>-2000</v>
      </c>
      <c r="H8" s="60">
        <f>assumptions!H14</f>
        <v>-2000</v>
      </c>
      <c r="I8" s="60">
        <f>assumptions!I14</f>
        <v>-2000</v>
      </c>
      <c r="J8" s="60">
        <f>assumptions!J14</f>
        <v>-2000</v>
      </c>
    </row>
    <row r="9" spans="1:12" x14ac:dyDescent="0.2">
      <c r="B9" s="61" t="s">
        <v>80</v>
      </c>
      <c r="C9" s="61"/>
      <c r="D9" s="61"/>
      <c r="E9" s="62">
        <f>'Balance Sheet'!E21</f>
        <v>23285</v>
      </c>
      <c r="F9" s="63">
        <f>SUM(F6:F8)</f>
        <v>25666.666666666668</v>
      </c>
      <c r="G9" s="63">
        <f t="shared" ref="G9:J9" si="0">SUM(G6:G8)</f>
        <v>28048.333333333336</v>
      </c>
      <c r="H9" s="63">
        <f t="shared" si="0"/>
        <v>30430.000000000004</v>
      </c>
      <c r="I9" s="63">
        <f t="shared" si="0"/>
        <v>32811.666666666672</v>
      </c>
      <c r="J9" s="63">
        <f t="shared" si="0"/>
        <v>35193.333333333336</v>
      </c>
    </row>
    <row r="10" spans="1:12" ht="14" hidden="1" customHeight="1" x14ac:dyDescent="0.2">
      <c r="B10" s="84" t="s">
        <v>81</v>
      </c>
      <c r="C10" s="55"/>
      <c r="D10" s="55"/>
      <c r="E10" s="59"/>
      <c r="F10" s="59"/>
      <c r="G10" s="59"/>
      <c r="H10" s="59"/>
      <c r="I10" s="59"/>
      <c r="J10" s="59"/>
    </row>
    <row r="11" spans="1:12" hidden="1" x14ac:dyDescent="0.2">
      <c r="B11" s="55" t="s">
        <v>82</v>
      </c>
      <c r="C11" s="55"/>
      <c r="D11" s="55"/>
      <c r="E11" s="59"/>
      <c r="F11" s="59"/>
      <c r="G11" s="59"/>
      <c r="H11" s="59"/>
      <c r="I11" s="59"/>
      <c r="J11" s="59"/>
    </row>
    <row r="12" spans="1:12" hidden="1" x14ac:dyDescent="0.2">
      <c r="B12" s="55" t="s">
        <v>83</v>
      </c>
      <c r="C12" s="55"/>
      <c r="D12" s="55"/>
      <c r="E12" s="59"/>
      <c r="F12" s="64"/>
      <c r="G12" s="64"/>
      <c r="H12" s="64"/>
      <c r="I12" s="64"/>
      <c r="J12" s="64"/>
    </row>
    <row r="13" spans="1:12" hidden="1" x14ac:dyDescent="0.2">
      <c r="B13" s="61" t="s">
        <v>84</v>
      </c>
      <c r="C13" s="61"/>
      <c r="D13" s="61"/>
      <c r="E13" s="63"/>
      <c r="F13" s="63"/>
      <c r="G13" s="63"/>
      <c r="H13" s="63"/>
      <c r="I13" s="63"/>
      <c r="J13" s="63"/>
    </row>
    <row r="14" spans="1:12" ht="14" hidden="1" customHeight="1" x14ac:dyDescent="0.2">
      <c r="B14" s="84" t="s">
        <v>85</v>
      </c>
      <c r="C14" s="55"/>
      <c r="D14" s="55"/>
      <c r="E14" s="59"/>
      <c r="F14" s="59"/>
      <c r="G14" s="59"/>
      <c r="H14" s="59"/>
      <c r="I14" s="59"/>
      <c r="J14" s="59"/>
    </row>
    <row r="15" spans="1:12" hidden="1" x14ac:dyDescent="0.2">
      <c r="B15" s="55" t="s">
        <v>86</v>
      </c>
      <c r="C15" s="55"/>
      <c r="D15" s="55"/>
      <c r="E15" s="59"/>
      <c r="F15" s="59"/>
      <c r="G15" s="59"/>
      <c r="H15" s="59"/>
      <c r="I15" s="59"/>
      <c r="J15" s="59"/>
    </row>
    <row r="16" spans="1:12" hidden="1" x14ac:dyDescent="0.2">
      <c r="B16" s="55" t="s">
        <v>87</v>
      </c>
      <c r="C16" s="55"/>
      <c r="D16" s="55"/>
      <c r="E16" s="59"/>
      <c r="F16" s="64"/>
      <c r="G16" s="64"/>
      <c r="H16" s="64"/>
      <c r="I16" s="64"/>
      <c r="J16" s="64"/>
    </row>
    <row r="17" spans="2:10" hidden="1" x14ac:dyDescent="0.2">
      <c r="B17" s="61" t="s">
        <v>88</v>
      </c>
      <c r="C17" s="61"/>
      <c r="D17" s="61"/>
      <c r="E17" s="63"/>
      <c r="F17" s="63"/>
      <c r="G17" s="63"/>
      <c r="H17" s="63"/>
      <c r="I17" s="63"/>
      <c r="J17" s="6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06EB-E6E4-4C4E-AD99-4D30812C8667}">
  <sheetPr>
    <tabColor rgb="FF7030A0"/>
  </sheetPr>
  <dimension ref="A1:L16"/>
  <sheetViews>
    <sheetView showGridLines="0" zoomScale="1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baseColWidth="10" defaultRowHeight="16" x14ac:dyDescent="0.2"/>
  <cols>
    <col min="1" max="1" width="2.83203125" customWidth="1"/>
    <col min="2" max="2" width="27.83203125" bestFit="1" customWidth="1"/>
  </cols>
  <sheetData>
    <row r="1" spans="1:12" s="65" customFormat="1" x14ac:dyDescent="0.2">
      <c r="B1" s="51" t="s">
        <v>89</v>
      </c>
      <c r="F1" s="51" t="s">
        <v>8</v>
      </c>
    </row>
    <row r="2" spans="1:12" s="51" customFormat="1" x14ac:dyDescent="0.2">
      <c r="A2" s="49"/>
      <c r="B2" s="49" t="s">
        <v>9</v>
      </c>
      <c r="C2" s="49" t="s">
        <v>0</v>
      </c>
      <c r="D2" s="49" t="s">
        <v>1</v>
      </c>
      <c r="E2" s="49" t="s">
        <v>2</v>
      </c>
      <c r="F2" s="49" t="s">
        <v>3</v>
      </c>
      <c r="G2" s="49" t="s">
        <v>4</v>
      </c>
      <c r="H2" s="49" t="s">
        <v>5</v>
      </c>
      <c r="I2" s="49" t="s">
        <v>6</v>
      </c>
      <c r="J2" s="49" t="s">
        <v>7</v>
      </c>
      <c r="K2" s="49"/>
      <c r="L2" s="50"/>
    </row>
    <row r="4" spans="1:12" x14ac:dyDescent="0.2">
      <c r="B4" s="55" t="s">
        <v>10</v>
      </c>
      <c r="C4" s="75">
        <f>'income statement'!C5</f>
        <v>96773</v>
      </c>
      <c r="D4" s="75">
        <f>'income statement'!D5</f>
        <v>97690</v>
      </c>
      <c r="E4" s="75">
        <f>'income statement'!E5</f>
        <v>94827</v>
      </c>
      <c r="F4" s="75">
        <f>'income statement'!F5</f>
        <v>101464.89</v>
      </c>
      <c r="G4" s="75">
        <f>'income statement'!G5</f>
        <v>109582.0812</v>
      </c>
      <c r="H4" s="75">
        <f>'income statement'!H5</f>
        <v>119444.46850800001</v>
      </c>
      <c r="I4" s="75">
        <f>'income statement'!I5</f>
        <v>131388.9153588</v>
      </c>
      <c r="J4" s="75">
        <f>'income statement'!J5</f>
        <v>145841.696048268</v>
      </c>
    </row>
    <row r="5" spans="1:12" x14ac:dyDescent="0.2">
      <c r="B5" s="55"/>
      <c r="C5" s="75"/>
      <c r="D5" s="75"/>
      <c r="E5" s="75"/>
      <c r="F5" s="75"/>
      <c r="G5" s="75"/>
      <c r="H5" s="75"/>
      <c r="I5" s="75"/>
      <c r="J5" s="75"/>
    </row>
    <row r="6" spans="1:12" x14ac:dyDescent="0.2">
      <c r="B6" s="76" t="s">
        <v>122</v>
      </c>
      <c r="C6" s="75">
        <f>'income statement'!C15</f>
        <v>4667</v>
      </c>
      <c r="D6" s="75">
        <f>'income statement'!D15</f>
        <v>5368</v>
      </c>
      <c r="E6" s="75">
        <f>'income statement'!E15</f>
        <v>6148</v>
      </c>
      <c r="F6" s="81">
        <f>F4*F7</f>
        <v>5682.3533294496783</v>
      </c>
      <c r="G6" s="81">
        <f t="shared" ref="G6:J6" si="0">G4*G7</f>
        <v>6136.9415958056525</v>
      </c>
      <c r="H6" s="81">
        <f t="shared" si="0"/>
        <v>6689.2663394281617</v>
      </c>
      <c r="I6" s="81">
        <f t="shared" si="0"/>
        <v>7358.1929733709776</v>
      </c>
      <c r="J6" s="81">
        <f t="shared" si="0"/>
        <v>8167.5942004417848</v>
      </c>
    </row>
    <row r="7" spans="1:12" x14ac:dyDescent="0.2">
      <c r="B7" s="77" t="s">
        <v>123</v>
      </c>
      <c r="C7" s="87">
        <f>C6/C4</f>
        <v>4.822626145722464E-2</v>
      </c>
      <c r="D7" s="87">
        <f t="shared" ref="D7:E7" si="1">D6/D4</f>
        <v>5.4949329511720747E-2</v>
      </c>
      <c r="E7" s="87">
        <f t="shared" si="1"/>
        <v>6.4833855336560262E-2</v>
      </c>
      <c r="F7" s="78">
        <f>assumptions!F8</f>
        <v>5.6003148768501876E-2</v>
      </c>
      <c r="G7" s="78">
        <f>assumptions!G8</f>
        <v>5.6003148768501876E-2</v>
      </c>
      <c r="H7" s="78">
        <f>assumptions!H8</f>
        <v>5.6003148768501876E-2</v>
      </c>
      <c r="I7" s="78">
        <f>assumptions!I8</f>
        <v>5.6003148768501876E-2</v>
      </c>
      <c r="J7" s="78">
        <f>assumptions!J8</f>
        <v>5.6003148768501876E-2</v>
      </c>
    </row>
    <row r="8" spans="1:12" x14ac:dyDescent="0.2">
      <c r="B8" s="79"/>
      <c r="C8" s="79"/>
      <c r="D8" s="55"/>
      <c r="E8" s="80"/>
      <c r="F8" s="80"/>
      <c r="G8" s="80"/>
      <c r="H8" s="80"/>
      <c r="I8" s="80"/>
      <c r="J8" s="80"/>
    </row>
    <row r="9" spans="1:12" x14ac:dyDescent="0.2">
      <c r="B9" s="55" t="s">
        <v>124</v>
      </c>
      <c r="C9">
        <v>23548</v>
      </c>
      <c r="D9" s="32">
        <v>29725</v>
      </c>
      <c r="E9" s="32">
        <v>35836</v>
      </c>
      <c r="F9" s="32">
        <f>E12</f>
        <v>40643</v>
      </c>
      <c r="G9" s="32">
        <f t="shared" ref="G9:J9" si="2">F12</f>
        <v>34960.646670550319</v>
      </c>
      <c r="H9" s="32">
        <f t="shared" si="2"/>
        <v>28823.705074744666</v>
      </c>
      <c r="I9" s="32">
        <f t="shared" si="2"/>
        <v>22134.438735316504</v>
      </c>
      <c r="J9" s="32">
        <f t="shared" si="2"/>
        <v>14776.245761945527</v>
      </c>
    </row>
    <row r="10" spans="1:12" x14ac:dyDescent="0.2">
      <c r="B10" s="55" t="s">
        <v>125</v>
      </c>
      <c r="C10" s="99">
        <f>C12-C9+C11</f>
        <v>10844</v>
      </c>
      <c r="D10" s="99">
        <f t="shared" ref="D10:E10" si="3">D12-D9+D11</f>
        <v>11479</v>
      </c>
      <c r="E10" s="99">
        <f t="shared" si="3"/>
        <v>10955</v>
      </c>
      <c r="F10">
        <v>10146.489000000001</v>
      </c>
      <c r="G10">
        <v>10958.208120000001</v>
      </c>
      <c r="H10">
        <v>11944.446850800001</v>
      </c>
      <c r="I10">
        <v>13138.89153588</v>
      </c>
      <c r="J10">
        <v>14584.1696048268</v>
      </c>
    </row>
    <row r="11" spans="1:12" x14ac:dyDescent="0.2">
      <c r="B11" s="55" t="s">
        <v>122</v>
      </c>
      <c r="C11" s="75">
        <f>C6</f>
        <v>4667</v>
      </c>
      <c r="D11" s="75">
        <f t="shared" ref="D11:J11" si="4">D6</f>
        <v>5368</v>
      </c>
      <c r="E11" s="75">
        <f t="shared" si="4"/>
        <v>6148</v>
      </c>
      <c r="F11" s="75">
        <f t="shared" si="4"/>
        <v>5682.3533294496783</v>
      </c>
      <c r="G11" s="75">
        <f t="shared" si="4"/>
        <v>6136.9415958056525</v>
      </c>
      <c r="H11" s="75">
        <f t="shared" si="4"/>
        <v>6689.2663394281617</v>
      </c>
      <c r="I11" s="75">
        <f t="shared" si="4"/>
        <v>7358.1929733709776</v>
      </c>
      <c r="J11" s="75">
        <f t="shared" si="4"/>
        <v>8167.5942004417848</v>
      </c>
    </row>
    <row r="12" spans="1:12" ht="17" thickBot="1" x14ac:dyDescent="0.25">
      <c r="B12" s="82" t="s">
        <v>126</v>
      </c>
      <c r="C12" s="83">
        <v>29725</v>
      </c>
      <c r="D12" s="83">
        <v>35836</v>
      </c>
      <c r="E12" s="83">
        <v>40643</v>
      </c>
      <c r="F12" s="83">
        <f>F9+E16-F11</f>
        <v>34960.646670550319</v>
      </c>
      <c r="G12" s="83">
        <f>G9+F16-G11</f>
        <v>28823.705074744666</v>
      </c>
      <c r="H12" s="83">
        <f>H9+G16-H11</f>
        <v>22134.438735316504</v>
      </c>
      <c r="I12" s="83">
        <f>I9+H16-I11</f>
        <v>14776.245761945527</v>
      </c>
      <c r="J12" s="83">
        <f>J9+I16-J11</f>
        <v>6608.6515615037424</v>
      </c>
    </row>
    <row r="13" spans="1:12" ht="17" thickTop="1" x14ac:dyDescent="0.2"/>
    <row r="16" spans="1:12" x14ac:dyDescent="0.2">
      <c r="E16" s="75"/>
      <c r="F16" s="75"/>
      <c r="G16" s="75"/>
      <c r="H16" s="75"/>
      <c r="I16" s="75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64C2-5ECE-E048-9A7E-7D1E55F14886}">
  <sheetPr>
    <tabColor rgb="FF941651"/>
  </sheetPr>
  <dimension ref="A1:L35"/>
  <sheetViews>
    <sheetView showGridLines="0" zoomScale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4" sqref="G24"/>
    </sheetView>
  </sheetViews>
  <sheetFormatPr baseColWidth="10" defaultRowHeight="16" x14ac:dyDescent="0.2"/>
  <cols>
    <col min="1" max="1" width="5.6640625" customWidth="1"/>
    <col min="2" max="2" width="47.83203125" bestFit="1" customWidth="1"/>
  </cols>
  <sheetData>
    <row r="1" spans="1:12" s="65" customFormat="1" x14ac:dyDescent="0.2">
      <c r="B1" s="49" t="s">
        <v>89</v>
      </c>
      <c r="C1" s="88"/>
      <c r="D1" s="88"/>
      <c r="E1" s="88"/>
      <c r="F1" s="49" t="s">
        <v>8</v>
      </c>
      <c r="G1" s="88"/>
      <c r="H1" s="88"/>
      <c r="I1" s="88"/>
      <c r="J1" s="88"/>
      <c r="K1" s="88"/>
    </row>
    <row r="2" spans="1:12" s="51" customFormat="1" x14ac:dyDescent="0.2">
      <c r="A2" s="49"/>
      <c r="B2" s="49" t="s">
        <v>9</v>
      </c>
      <c r="C2" s="49" t="s">
        <v>0</v>
      </c>
      <c r="D2" s="49" t="s">
        <v>1</v>
      </c>
      <c r="E2" s="49" t="s">
        <v>2</v>
      </c>
      <c r="F2" s="49" t="s">
        <v>3</v>
      </c>
      <c r="G2" s="49" t="s">
        <v>4</v>
      </c>
      <c r="H2" s="49" t="s">
        <v>5</v>
      </c>
      <c r="I2" s="49" t="s">
        <v>6</v>
      </c>
      <c r="J2" s="49" t="s">
        <v>7</v>
      </c>
      <c r="K2" s="49"/>
      <c r="L2" s="50"/>
    </row>
    <row r="3" spans="1:12" x14ac:dyDescent="0.2"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x14ac:dyDescent="0.2">
      <c r="B4" s="89" t="s">
        <v>127</v>
      </c>
      <c r="C4" s="90"/>
      <c r="D4" s="91"/>
      <c r="E4" s="92"/>
      <c r="F4" s="92"/>
      <c r="G4" s="92"/>
      <c r="H4" s="92"/>
      <c r="I4" s="92"/>
      <c r="J4" s="92"/>
      <c r="K4" s="91"/>
      <c r="L4" s="55"/>
    </row>
    <row r="5" spans="1:12" x14ac:dyDescent="0.2">
      <c r="B5" s="91" t="s">
        <v>128</v>
      </c>
      <c r="C5" s="93">
        <f>'Balance Sheet'!C6</f>
        <v>3508</v>
      </c>
      <c r="D5" s="93">
        <f>'Balance Sheet'!D6</f>
        <v>4418</v>
      </c>
      <c r="E5" s="93">
        <f>'Balance Sheet'!E6</f>
        <v>4576</v>
      </c>
      <c r="F5" s="93">
        <f>'Balance Sheet'!F6</f>
        <v>4896.3200000000006</v>
      </c>
      <c r="G5" s="93">
        <f>'Balance Sheet'!G6</f>
        <v>5288.0256000000008</v>
      </c>
      <c r="H5" s="93">
        <f>'Balance Sheet'!H6</f>
        <v>5763.9479040000015</v>
      </c>
      <c r="I5" s="93">
        <f>'Balance Sheet'!I6</f>
        <v>6340.3426944000021</v>
      </c>
      <c r="J5" s="93">
        <f>'Balance Sheet'!J6</f>
        <v>7037.7803907840016</v>
      </c>
      <c r="K5" s="91"/>
      <c r="L5" s="55"/>
    </row>
    <row r="6" spans="1:12" x14ac:dyDescent="0.2">
      <c r="B6" s="91" t="s">
        <v>43</v>
      </c>
      <c r="C6" s="93">
        <f>'Balance Sheet'!C7</f>
        <v>13626</v>
      </c>
      <c r="D6" s="93">
        <f>'Balance Sheet'!D7</f>
        <v>12017</v>
      </c>
      <c r="E6" s="93">
        <f>'Balance Sheet'!E7</f>
        <v>12392</v>
      </c>
      <c r="F6" s="93">
        <f>'Balance Sheet'!F7</f>
        <v>13259.44</v>
      </c>
      <c r="G6" s="93">
        <f>'Balance Sheet'!G7</f>
        <v>14320.195200000002</v>
      </c>
      <c r="H6" s="93">
        <f>'Balance Sheet'!H7</f>
        <v>15609.012768000004</v>
      </c>
      <c r="I6" s="93">
        <f>'Balance Sheet'!I7</f>
        <v>17169.914044800007</v>
      </c>
      <c r="J6" s="93">
        <f>'Balance Sheet'!J7</f>
        <v>19058.604589728006</v>
      </c>
      <c r="K6" s="91"/>
      <c r="L6" s="55"/>
    </row>
    <row r="7" spans="1:12" x14ac:dyDescent="0.2">
      <c r="B7" s="91"/>
      <c r="C7" s="93"/>
      <c r="D7" s="93"/>
      <c r="E7" s="93"/>
      <c r="F7" s="93"/>
      <c r="G7" s="93"/>
      <c r="H7" s="93"/>
      <c r="I7" s="93"/>
      <c r="J7" s="93"/>
      <c r="K7" s="91"/>
      <c r="L7" s="55"/>
    </row>
    <row r="8" spans="1:12" x14ac:dyDescent="0.2">
      <c r="B8" s="91"/>
      <c r="C8" s="94"/>
      <c r="D8" s="94"/>
      <c r="E8" s="94"/>
      <c r="F8" s="94"/>
      <c r="G8" s="94"/>
      <c r="H8" s="94"/>
      <c r="I8" s="94"/>
      <c r="J8" s="94"/>
      <c r="K8" s="91"/>
      <c r="L8" s="55"/>
    </row>
    <row r="9" spans="1:12" x14ac:dyDescent="0.2">
      <c r="B9" s="89" t="s">
        <v>129</v>
      </c>
      <c r="C9" s="95">
        <f>'income statement'!C5</f>
        <v>96773</v>
      </c>
      <c r="D9" s="95">
        <f>'income statement'!D5</f>
        <v>97690</v>
      </c>
      <c r="E9" s="95">
        <f>'income statement'!E5</f>
        <v>94827</v>
      </c>
      <c r="F9" s="95">
        <f>'income statement'!F5</f>
        <v>101464.89</v>
      </c>
      <c r="G9" s="95">
        <f>'income statement'!G5</f>
        <v>109582.0812</v>
      </c>
      <c r="H9" s="95">
        <f>'income statement'!H5</f>
        <v>119444.46850800001</v>
      </c>
      <c r="I9" s="95">
        <f>'income statement'!I5</f>
        <v>131388.9153588</v>
      </c>
      <c r="J9" s="95">
        <f>'income statement'!J5</f>
        <v>145841.696048268</v>
      </c>
      <c r="K9" s="91"/>
      <c r="L9" s="55"/>
    </row>
    <row r="10" spans="1:12" x14ac:dyDescent="0.2">
      <c r="B10" s="89" t="s">
        <v>130</v>
      </c>
      <c r="C10" s="95">
        <f>'income statement'!C6</f>
        <v>79113</v>
      </c>
      <c r="D10" s="95">
        <f>'income statement'!D6</f>
        <v>80240</v>
      </c>
      <c r="E10" s="95">
        <f>'income statement'!E6</f>
        <v>77733</v>
      </c>
      <c r="F10" s="95">
        <f>'income statement'!F6</f>
        <v>83154.525855124753</v>
      </c>
      <c r="G10" s="95">
        <f>'income statement'!G6</f>
        <v>89806.887923534741</v>
      </c>
      <c r="H10" s="95">
        <f>'income statement'!H6</f>
        <v>97889.507836652861</v>
      </c>
      <c r="I10" s="95">
        <f>'income statement'!I6</f>
        <v>107678.45862031815</v>
      </c>
      <c r="J10" s="95">
        <f>'income statement'!J6</f>
        <v>119523.08906855315</v>
      </c>
      <c r="K10" s="91"/>
      <c r="L10" s="55"/>
    </row>
    <row r="11" spans="1:12" x14ac:dyDescent="0.2">
      <c r="B11" s="91"/>
      <c r="C11" s="94"/>
      <c r="D11" s="94"/>
      <c r="E11" s="94"/>
      <c r="F11" s="94"/>
      <c r="G11" s="94"/>
      <c r="H11" s="94"/>
      <c r="I11" s="94"/>
      <c r="J11" s="94"/>
      <c r="K11" s="91"/>
      <c r="L11" s="55"/>
    </row>
    <row r="12" spans="1:12" ht="17" thickBot="1" x14ac:dyDescent="0.25">
      <c r="B12" s="96" t="s">
        <v>131</v>
      </c>
      <c r="C12" s="94"/>
      <c r="D12" s="94"/>
      <c r="E12" s="94"/>
      <c r="F12" s="94"/>
      <c r="G12" s="94"/>
      <c r="H12" s="94"/>
      <c r="I12" s="94"/>
      <c r="J12" s="94"/>
      <c r="K12" s="91"/>
      <c r="L12" s="55"/>
    </row>
    <row r="13" spans="1:12" x14ac:dyDescent="0.2">
      <c r="B13" s="91" t="s">
        <v>132</v>
      </c>
      <c r="C13" s="94">
        <f>C9/C5</f>
        <v>27.5863740022805</v>
      </c>
      <c r="D13" s="94">
        <f t="shared" ref="D13:J13" si="0">D9/D5</f>
        <v>22.111815301041194</v>
      </c>
      <c r="E13" s="94">
        <f t="shared" si="0"/>
        <v>20.722683566433567</v>
      </c>
      <c r="F13" s="94">
        <f t="shared" si="0"/>
        <v>20.722683566433563</v>
      </c>
      <c r="G13" s="94">
        <f t="shared" si="0"/>
        <v>20.722683566433563</v>
      </c>
      <c r="H13" s="94">
        <f t="shared" si="0"/>
        <v>20.722683566433563</v>
      </c>
      <c r="I13" s="94">
        <f t="shared" si="0"/>
        <v>20.72268356643356</v>
      </c>
      <c r="J13" s="94">
        <f t="shared" si="0"/>
        <v>20.722683566433563</v>
      </c>
      <c r="K13" s="91"/>
      <c r="L13" s="85" t="s">
        <v>133</v>
      </c>
    </row>
    <row r="14" spans="1:12" ht="17" thickBot="1" x14ac:dyDescent="0.25">
      <c r="B14" s="91" t="s">
        <v>134</v>
      </c>
      <c r="C14" s="94">
        <f>C10/C6</f>
        <v>5.806032584764421</v>
      </c>
      <c r="D14" s="94">
        <f t="shared" ref="D14:J14" si="1">D10/D6</f>
        <v>6.6772072896729631</v>
      </c>
      <c r="E14" s="94">
        <f t="shared" si="1"/>
        <v>6.2728373143963845</v>
      </c>
      <c r="F14" s="94">
        <f t="shared" si="1"/>
        <v>6.2713452344235314</v>
      </c>
      <c r="G14" s="94">
        <f t="shared" si="1"/>
        <v>6.2713452344235314</v>
      </c>
      <c r="H14" s="94">
        <f t="shared" si="1"/>
        <v>6.2713452344235305</v>
      </c>
      <c r="I14" s="94">
        <f t="shared" si="1"/>
        <v>6.2713452344235296</v>
      </c>
      <c r="J14" s="94">
        <f t="shared" si="1"/>
        <v>6.2713452344235305</v>
      </c>
      <c r="K14" s="91"/>
      <c r="L14" s="86">
        <v>365</v>
      </c>
    </row>
    <row r="15" spans="1:12" x14ac:dyDescent="0.2">
      <c r="B15" s="91"/>
      <c r="C15" s="94"/>
      <c r="D15" s="94"/>
      <c r="E15" s="94"/>
      <c r="F15" s="94"/>
      <c r="G15" s="94"/>
      <c r="H15" s="94"/>
      <c r="I15" s="94"/>
      <c r="J15" s="94"/>
      <c r="K15" s="91"/>
      <c r="L15" s="55"/>
    </row>
    <row r="16" spans="1:12" x14ac:dyDescent="0.2">
      <c r="B16" s="91"/>
      <c r="C16" s="94"/>
      <c r="D16" s="94"/>
      <c r="E16" s="94"/>
      <c r="F16" s="94"/>
      <c r="G16" s="94"/>
      <c r="H16" s="94"/>
      <c r="I16" s="94"/>
      <c r="J16" s="94"/>
      <c r="K16" s="91"/>
      <c r="L16" s="55"/>
    </row>
    <row r="17" spans="2:12" x14ac:dyDescent="0.2">
      <c r="B17" s="91" t="s">
        <v>69</v>
      </c>
      <c r="C17" s="94">
        <f>365/C13</f>
        <v>13.231169851094831</v>
      </c>
      <c r="D17" s="94">
        <f t="shared" ref="D17:J17" si="2">365/D13</f>
        <v>16.507011976660866</v>
      </c>
      <c r="E17" s="94">
        <f t="shared" si="2"/>
        <v>17.613548883756735</v>
      </c>
      <c r="F17" s="94">
        <f t="shared" si="2"/>
        <v>17.613548883756739</v>
      </c>
      <c r="G17" s="94">
        <f t="shared" si="2"/>
        <v>17.613548883756739</v>
      </c>
      <c r="H17" s="94">
        <f t="shared" si="2"/>
        <v>17.613548883756739</v>
      </c>
      <c r="I17" s="94">
        <f t="shared" si="2"/>
        <v>17.613548883756742</v>
      </c>
      <c r="J17" s="94">
        <f t="shared" si="2"/>
        <v>17.613548883756739</v>
      </c>
      <c r="K17" s="91"/>
      <c r="L17" s="55"/>
    </row>
    <row r="18" spans="2:12" x14ac:dyDescent="0.2">
      <c r="B18" s="91" t="s">
        <v>70</v>
      </c>
      <c r="C18" s="94">
        <f t="shared" ref="C18:J18" si="3">365/C14</f>
        <v>62.865647870767134</v>
      </c>
      <c r="D18" s="94">
        <f t="shared" si="3"/>
        <v>54.663571784646066</v>
      </c>
      <c r="E18" s="94">
        <f t="shared" si="3"/>
        <v>58.187385023091871</v>
      </c>
      <c r="F18" s="94">
        <f t="shared" si="3"/>
        <v>58.201228979790201</v>
      </c>
      <c r="G18" s="94">
        <f t="shared" si="3"/>
        <v>58.201228979790201</v>
      </c>
      <c r="H18" s="94">
        <f t="shared" si="3"/>
        <v>58.201228979790208</v>
      </c>
      <c r="I18" s="94">
        <f t="shared" si="3"/>
        <v>58.201228979790216</v>
      </c>
      <c r="J18" s="94">
        <f t="shared" si="3"/>
        <v>58.201228979790208</v>
      </c>
      <c r="K18" s="91"/>
      <c r="L18" s="55"/>
    </row>
    <row r="19" spans="2:12" x14ac:dyDescent="0.2">
      <c r="B19" s="91"/>
      <c r="C19" s="94"/>
      <c r="D19" s="94"/>
      <c r="E19" s="94"/>
      <c r="F19" s="94"/>
      <c r="G19" s="94"/>
      <c r="H19" s="94"/>
      <c r="I19" s="94"/>
      <c r="J19" s="94"/>
      <c r="K19" s="91"/>
      <c r="L19" s="55"/>
    </row>
    <row r="20" spans="2:12" x14ac:dyDescent="0.2">
      <c r="B20" s="97" t="s">
        <v>135</v>
      </c>
      <c r="C20" s="98">
        <f>C17+C18-C19</f>
        <v>76.096817721861967</v>
      </c>
      <c r="D20" s="98">
        <f t="shared" ref="D20:J20" si="4">D17+D18-D19</f>
        <v>71.170583761306929</v>
      </c>
      <c r="E20" s="98">
        <f t="shared" si="4"/>
        <v>75.800933906848599</v>
      </c>
      <c r="F20" s="98">
        <f t="shared" si="4"/>
        <v>75.814777863546936</v>
      </c>
      <c r="G20" s="98">
        <f t="shared" si="4"/>
        <v>75.814777863546936</v>
      </c>
      <c r="H20" s="98">
        <f t="shared" si="4"/>
        <v>75.814777863546951</v>
      </c>
      <c r="I20" s="98">
        <f t="shared" si="4"/>
        <v>75.814777863546965</v>
      </c>
      <c r="J20" s="98">
        <f t="shared" si="4"/>
        <v>75.814777863546951</v>
      </c>
      <c r="K20" s="91"/>
      <c r="L20" s="55"/>
    </row>
    <row r="21" spans="2:12" x14ac:dyDescent="0.2"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55"/>
    </row>
    <row r="22" spans="2:12" x14ac:dyDescent="0.2"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55"/>
    </row>
    <row r="23" spans="2:12" x14ac:dyDescent="0.2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</row>
    <row r="24" spans="2:12" x14ac:dyDescent="0.2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2:12" x14ac:dyDescent="0.2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</row>
    <row r="26" spans="2:12" x14ac:dyDescent="0.2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</row>
    <row r="27" spans="2:12" x14ac:dyDescent="0.2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</row>
    <row r="28" spans="2:12" x14ac:dyDescent="0.2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</row>
    <row r="29" spans="2:12" x14ac:dyDescent="0.2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2:12" x14ac:dyDescent="0.2">
      <c r="B30" s="55"/>
      <c r="C30" s="55" t="s">
        <v>136</v>
      </c>
      <c r="D30" s="55" t="s">
        <v>137</v>
      </c>
      <c r="E30" s="55"/>
      <c r="F30" s="55"/>
      <c r="G30" s="55"/>
      <c r="H30" s="55"/>
      <c r="I30" s="55"/>
      <c r="J30" s="55"/>
      <c r="K30" s="55"/>
      <c r="L30" s="55"/>
    </row>
    <row r="31" spans="2:12" x14ac:dyDescent="0.2">
      <c r="B31" s="58"/>
      <c r="C31" s="55" t="s">
        <v>138</v>
      </c>
      <c r="D31" s="55"/>
      <c r="E31" s="55"/>
      <c r="F31" s="55"/>
      <c r="G31" s="55"/>
      <c r="H31" s="55"/>
      <c r="I31" s="55"/>
      <c r="J31" s="55"/>
      <c r="K31" s="55"/>
      <c r="L31" s="55"/>
    </row>
    <row r="32" spans="2:12" x14ac:dyDescent="0.2">
      <c r="B32" s="58"/>
      <c r="C32" s="55">
        <f>10-20</f>
        <v>-10</v>
      </c>
      <c r="D32" s="55" t="s">
        <v>137</v>
      </c>
      <c r="E32" s="55"/>
      <c r="F32" s="55"/>
      <c r="G32" s="55"/>
      <c r="H32" s="55"/>
      <c r="I32" s="55"/>
      <c r="J32" s="55"/>
      <c r="K32" s="55"/>
      <c r="L32" s="55"/>
    </row>
    <row r="33" spans="2:12" x14ac:dyDescent="0.2">
      <c r="B33" s="55"/>
      <c r="C33" s="55" t="s">
        <v>139</v>
      </c>
      <c r="D33" s="55"/>
      <c r="E33" s="55"/>
      <c r="F33" s="55"/>
      <c r="G33" s="55"/>
      <c r="H33" s="55"/>
      <c r="I33" s="55"/>
      <c r="J33" s="55"/>
      <c r="K33" s="55"/>
      <c r="L33" s="55"/>
    </row>
    <row r="34" spans="2:12" x14ac:dyDescent="0.2">
      <c r="B34" s="55"/>
      <c r="C34" s="55" t="s">
        <v>140</v>
      </c>
      <c r="D34" s="55" t="s">
        <v>141</v>
      </c>
      <c r="E34" s="55"/>
      <c r="F34" s="55"/>
      <c r="G34" s="55"/>
      <c r="H34" s="55"/>
      <c r="I34" s="55"/>
      <c r="J34" s="55"/>
      <c r="K34" s="55"/>
      <c r="L34" s="55"/>
    </row>
    <row r="35" spans="2:12" x14ac:dyDescent="0.2">
      <c r="B35" s="55"/>
      <c r="C35" s="55">
        <f>10-5</f>
        <v>5</v>
      </c>
      <c r="D35" s="55" t="s">
        <v>141</v>
      </c>
      <c r="E35" s="55"/>
      <c r="F35" s="55"/>
      <c r="G35" s="55"/>
      <c r="H35" s="55"/>
      <c r="I35" s="55"/>
      <c r="J35" s="55"/>
      <c r="K35" s="55"/>
      <c r="L35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assumptions</vt:lpstr>
      <vt:lpstr>income statement</vt:lpstr>
      <vt:lpstr>Balance Sheet</vt:lpstr>
      <vt:lpstr>Cash Flow</vt:lpstr>
      <vt:lpstr>Debt Schedule</vt:lpstr>
      <vt:lpstr>Dep Capex Schedule</vt:lpstr>
      <vt:lpstr>Working Capital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paridhisaini</dc:creator>
  <cp:lastModifiedBy>paridhisaini</cp:lastModifiedBy>
  <dcterms:created xsi:type="dcterms:W3CDTF">2026-03-04T12:03:00Z</dcterms:created>
  <dcterms:modified xsi:type="dcterms:W3CDTF">2026-04-01T15:56:15Z</dcterms:modified>
</cp:coreProperties>
</file>