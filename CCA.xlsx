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idhi/Library/Mobile Documents/com~apple~CloudDocs/modelling /"/>
    </mc:Choice>
  </mc:AlternateContent>
  <xr:revisionPtr revIDLastSave="0" documentId="13_ncr:1_{3F19857D-D5ED-624F-9DC0-E5601B48FEF7}" xr6:coauthVersionLast="47" xr6:coauthVersionMax="47" xr10:uidLastSave="{00000000-0000-0000-0000-000000000000}"/>
  <bookViews>
    <workbookView xWindow="11940" yWindow="660" windowWidth="17460" windowHeight="16480" xr2:uid="{602BC053-1902-E342-BB2D-FC09FAD1AD43}"/>
  </bookViews>
  <sheets>
    <sheet name="Cover" sheetId="11" r:id="rId1"/>
    <sheet name="Assumptions &amp; notes" sheetId="8" r:id="rId2"/>
    <sheet name="Input" sheetId="2" r:id="rId3"/>
    <sheet name="EV &amp; Multiples Calculation" sheetId="3" r:id="rId4"/>
    <sheet name="Benchmarking &amp; Target Valuation" sheetId="5" r:id="rId5"/>
    <sheet name="Football Field Chart" sheetId="7" r:id="rId6"/>
    <sheet name="RE Schedules" sheetId="10" r:id="rId7"/>
  </sheets>
  <definedNames>
    <definedName name="_xlnm._FilterDatabase" localSheetId="1" hidden="1">'Assumptions &amp; notes'!$A$20:$B$22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1" l="1"/>
  <c r="E19" i="11"/>
  <c r="F19" i="11"/>
  <c r="E12" i="11"/>
  <c r="G18" i="11"/>
  <c r="G17" i="11"/>
  <c r="F18" i="11"/>
  <c r="E18" i="11"/>
  <c r="D18" i="11"/>
  <c r="F17" i="11"/>
  <c r="E17" i="11"/>
  <c r="D17" i="11"/>
  <c r="E11" i="11"/>
  <c r="I16" i="5"/>
  <c r="I17" i="5" s="1"/>
  <c r="I18" i="5" s="1"/>
  <c r="I19" i="5" s="1"/>
  <c r="B5" i="3"/>
  <c r="C7" i="3"/>
  <c r="D7" i="3"/>
  <c r="E7" i="3"/>
  <c r="F7" i="3"/>
  <c r="G7" i="3"/>
  <c r="H7" i="3"/>
  <c r="B7" i="3"/>
  <c r="E9" i="10"/>
  <c r="F9" i="10"/>
  <c r="G9" i="10"/>
  <c r="C9" i="10"/>
  <c r="D9" i="10"/>
  <c r="B9" i="10"/>
  <c r="H8" i="10"/>
  <c r="B7" i="10"/>
  <c r="H27" i="3"/>
  <c r="E12" i="7" s="1"/>
  <c r="H11" i="10"/>
  <c r="H10" i="10"/>
  <c r="H16" i="10" a="1"/>
  <c r="H16" i="10" s="1"/>
  <c r="H14" i="10"/>
  <c r="H21" i="2"/>
  <c r="H18" i="3" s="1"/>
  <c r="G21" i="2"/>
  <c r="G18" i="3" s="1"/>
  <c r="E21" i="2"/>
  <c r="E18" i="3" s="1"/>
  <c r="F21" i="2"/>
  <c r="F18" i="3" s="1"/>
  <c r="D21" i="2"/>
  <c r="D18" i="3" s="1"/>
  <c r="C21" i="2"/>
  <c r="B21" i="2"/>
  <c r="B18" i="3" s="1"/>
  <c r="H7" i="10"/>
  <c r="H12" i="10" a="1"/>
  <c r="H12" i="10" s="1"/>
  <c r="H13" i="10" a="1"/>
  <c r="H13" i="10" s="1"/>
  <c r="H15" i="10" a="1"/>
  <c r="H15" i="10" s="1"/>
  <c r="H17" i="10" a="1"/>
  <c r="H17" i="10" s="1"/>
  <c r="C11" i="10"/>
  <c r="D11" i="10"/>
  <c r="E11" i="10"/>
  <c r="F11" i="10"/>
  <c r="G11" i="10"/>
  <c r="C10" i="10"/>
  <c r="D10" i="10"/>
  <c r="E10" i="10"/>
  <c r="F10" i="10"/>
  <c r="G10" i="10"/>
  <c r="C7" i="10"/>
  <c r="D7" i="10"/>
  <c r="E7" i="10"/>
  <c r="F7" i="10"/>
  <c r="G7" i="10"/>
  <c r="B11" i="10"/>
  <c r="B10" i="10"/>
  <c r="H26" i="7"/>
  <c r="H25" i="7"/>
  <c r="H24" i="7"/>
  <c r="H23" i="7"/>
  <c r="A12" i="7"/>
  <c r="A11" i="7"/>
  <c r="A10" i="7"/>
  <c r="A9" i="7"/>
  <c r="A8" i="7"/>
  <c r="A7" i="7"/>
  <c r="A5" i="5"/>
  <c r="A17" i="5" s="1"/>
  <c r="A6" i="5"/>
  <c r="A18" i="5" s="1"/>
  <c r="A7" i="5"/>
  <c r="A19" i="5" s="1"/>
  <c r="A4" i="5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C19" i="5" s="1"/>
  <c r="C18" i="3"/>
  <c r="H17" i="3"/>
  <c r="G17" i="3"/>
  <c r="F17" i="3"/>
  <c r="E17" i="3"/>
  <c r="D17" i="3"/>
  <c r="C17" i="3"/>
  <c r="B17" i="3"/>
  <c r="C18" i="5" s="1"/>
  <c r="H15" i="3"/>
  <c r="G15" i="3"/>
  <c r="F15" i="3"/>
  <c r="E15" i="3"/>
  <c r="D15" i="3"/>
  <c r="C15" i="3"/>
  <c r="B15" i="3"/>
  <c r="C17" i="5" s="1"/>
  <c r="H14" i="3"/>
  <c r="G14" i="3"/>
  <c r="F14" i="3"/>
  <c r="E14" i="3"/>
  <c r="D14" i="3"/>
  <c r="C14" i="3"/>
  <c r="B14" i="3"/>
  <c r="C16" i="5" s="1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H6" i="3"/>
  <c r="G6" i="3"/>
  <c r="F6" i="3"/>
  <c r="E6" i="3"/>
  <c r="D6" i="3"/>
  <c r="C6" i="3"/>
  <c r="B6" i="3"/>
  <c r="G16" i="5" s="1"/>
  <c r="G5" i="3"/>
  <c r="H5" i="3"/>
  <c r="C5" i="3"/>
  <c r="D5" i="3"/>
  <c r="E5" i="3"/>
  <c r="F5" i="3"/>
  <c r="C14" i="2"/>
  <c r="C11" i="3" s="1"/>
  <c r="D14" i="2"/>
  <c r="D11" i="3" s="1"/>
  <c r="E14" i="2"/>
  <c r="E11" i="3" s="1"/>
  <c r="F14" i="2"/>
  <c r="F11" i="3" s="1"/>
  <c r="G14" i="2"/>
  <c r="G11" i="3" s="1"/>
  <c r="H14" i="2"/>
  <c r="H11" i="3" s="1"/>
  <c r="B14" i="2"/>
  <c r="C10" i="2"/>
  <c r="D10" i="2"/>
  <c r="E10" i="2"/>
  <c r="F10" i="2"/>
  <c r="G10" i="2"/>
  <c r="H10" i="2"/>
  <c r="B10" i="2"/>
  <c r="C19" i="2"/>
  <c r="C16" i="3" s="1"/>
  <c r="D19" i="2"/>
  <c r="D16" i="3" s="1"/>
  <c r="E19" i="2"/>
  <c r="E16" i="3" s="1"/>
  <c r="F19" i="2"/>
  <c r="F16" i="3" s="1"/>
  <c r="G19" i="2"/>
  <c r="G16" i="3" s="1"/>
  <c r="H19" i="2"/>
  <c r="H16" i="3" s="1"/>
  <c r="B19" i="2"/>
  <c r="B16" i="3" s="1"/>
  <c r="E13" i="11" l="1"/>
  <c r="C16" i="10"/>
  <c r="C14" i="10"/>
  <c r="D16" i="10"/>
  <c r="D14" i="10"/>
  <c r="E16" i="10"/>
  <c r="E14" i="10"/>
  <c r="F16" i="10"/>
  <c r="F14" i="10"/>
  <c r="G16" i="10"/>
  <c r="G14" i="10"/>
  <c r="B16" i="10"/>
  <c r="B14" i="10"/>
  <c r="B17" i="10"/>
  <c r="G17" i="10"/>
  <c r="F17" i="10"/>
  <c r="E17" i="10"/>
  <c r="D17" i="10"/>
  <c r="C17" i="10"/>
  <c r="C12" i="10"/>
  <c r="D12" i="10"/>
  <c r="E12" i="10"/>
  <c r="F12" i="10"/>
  <c r="G12" i="10"/>
  <c r="C15" i="10"/>
  <c r="D15" i="10"/>
  <c r="E15" i="10"/>
  <c r="F15" i="10"/>
  <c r="G15" i="10"/>
  <c r="H27" i="7"/>
  <c r="B11" i="3"/>
  <c r="E16" i="5" s="1"/>
  <c r="E17" i="5" s="1"/>
  <c r="F33" i="7"/>
  <c r="F32" i="7"/>
  <c r="F31" i="7"/>
  <c r="F30" i="7"/>
  <c r="B15" i="10"/>
  <c r="C13" i="10"/>
  <c r="D13" i="10"/>
  <c r="E13" i="10"/>
  <c r="F13" i="10"/>
  <c r="G13" i="10"/>
  <c r="B13" i="10"/>
  <c r="B12" i="10"/>
  <c r="H15" i="2"/>
  <c r="H26" i="3"/>
  <c r="D12" i="7" s="1"/>
  <c r="G15" i="2"/>
  <c r="F15" i="2"/>
  <c r="E15" i="2"/>
  <c r="D15" i="2"/>
  <c r="C15" i="2"/>
  <c r="B15" i="2"/>
  <c r="G17" i="5"/>
  <c r="G18" i="5" s="1"/>
  <c r="G19" i="5" s="1"/>
  <c r="H12" i="3" l="1"/>
  <c r="G12" i="3"/>
  <c r="G24" i="3" s="1"/>
  <c r="B11" i="7" s="1"/>
  <c r="F12" i="3"/>
  <c r="E12" i="3"/>
  <c r="D12" i="3"/>
  <c r="C12" i="3"/>
  <c r="B12" i="3"/>
  <c r="H25" i="3"/>
  <c r="C12" i="7" s="1"/>
  <c r="H24" i="3"/>
  <c r="B12" i="7" s="1"/>
  <c r="G25" i="3"/>
  <c r="C11" i="7" s="1"/>
  <c r="G27" i="3"/>
  <c r="G26" i="3"/>
  <c r="D11" i="7" s="1"/>
  <c r="F26" i="3"/>
  <c r="D10" i="7" s="1"/>
  <c r="F27" i="3"/>
  <c r="E26" i="3"/>
  <c r="D9" i="7" s="1"/>
  <c r="E27" i="3"/>
  <c r="D26" i="3"/>
  <c r="D8" i="7" s="1"/>
  <c r="D27" i="3"/>
  <c r="C27" i="3"/>
  <c r="C26" i="3"/>
  <c r="D7" i="7" s="1"/>
  <c r="B26" i="3"/>
  <c r="B27" i="3"/>
  <c r="F6" i="5" l="1"/>
  <c r="F25" i="3"/>
  <c r="C10" i="7" s="1"/>
  <c r="F24" i="3"/>
  <c r="B10" i="7" s="1"/>
  <c r="E24" i="3"/>
  <c r="B9" i="7" s="1"/>
  <c r="E25" i="3"/>
  <c r="D25" i="3"/>
  <c r="D24" i="3"/>
  <c r="B8" i="7" s="1"/>
  <c r="C24" i="3"/>
  <c r="B7" i="7" s="1"/>
  <c r="C25" i="3"/>
  <c r="C7" i="7" s="1"/>
  <c r="B25" i="3"/>
  <c r="B24" i="3"/>
  <c r="F4" i="5" s="1"/>
  <c r="C8" i="7"/>
  <c r="C19" i="7" s="1"/>
  <c r="C27" i="7" s="1"/>
  <c r="J27" i="3"/>
  <c r="D7" i="5" s="1"/>
  <c r="F7" i="5"/>
  <c r="E11" i="7"/>
  <c r="E10" i="7"/>
  <c r="E9" i="7"/>
  <c r="E8" i="7"/>
  <c r="E7" i="7"/>
  <c r="D18" i="7"/>
  <c r="D26" i="7" s="1"/>
  <c r="D19" i="7"/>
  <c r="D27" i="7" s="1"/>
  <c r="D15" i="7"/>
  <c r="D23" i="7" s="1"/>
  <c r="B32" i="7" s="1"/>
  <c r="D16" i="7"/>
  <c r="D24" i="7" s="1"/>
  <c r="D17" i="7"/>
  <c r="D25" i="7" s="1"/>
  <c r="G32" i="7" s="1"/>
  <c r="J25" i="3"/>
  <c r="D5" i="5" s="1"/>
  <c r="B5" i="5"/>
  <c r="C5" i="5"/>
  <c r="K25" i="3"/>
  <c r="E5" i="5" s="1"/>
  <c r="J24" i="3"/>
  <c r="D4" i="5" s="1"/>
  <c r="C4" i="5"/>
  <c r="K24" i="3"/>
  <c r="E4" i="5" s="1"/>
  <c r="B4" i="5"/>
  <c r="C6" i="5"/>
  <c r="J26" i="3"/>
  <c r="D6" i="5" s="1"/>
  <c r="B6" i="5"/>
  <c r="K26" i="3"/>
  <c r="E6" i="5" s="1"/>
  <c r="B7" i="5"/>
  <c r="C7" i="5"/>
  <c r="K27" i="3"/>
  <c r="E7" i="5" s="1"/>
  <c r="B15" i="7" l="1"/>
  <c r="B23" i="7" s="1"/>
  <c r="B30" i="7" s="1"/>
  <c r="B19" i="7"/>
  <c r="B27" i="7" s="1"/>
  <c r="E30" i="7" s="1"/>
  <c r="B16" i="7"/>
  <c r="B24" i="7" s="1"/>
  <c r="C30" i="7" s="1"/>
  <c r="B18" i="7"/>
  <c r="B26" i="7" s="1"/>
  <c r="D30" i="7" s="1"/>
  <c r="B17" i="7"/>
  <c r="B25" i="7" s="1"/>
  <c r="G30" i="7" s="1"/>
  <c r="C9" i="7"/>
  <c r="F5" i="5"/>
  <c r="B17" i="5" s="1"/>
  <c r="D17" i="5" s="1"/>
  <c r="F17" i="5" s="1"/>
  <c r="H17" i="5" s="1"/>
  <c r="J17" i="5" s="1"/>
  <c r="C16" i="7"/>
  <c r="C24" i="7" s="1"/>
  <c r="C18" i="7"/>
  <c r="C26" i="7" s="1"/>
  <c r="E31" i="7"/>
  <c r="E32" i="7"/>
  <c r="C32" i="7"/>
  <c r="D31" i="7"/>
  <c r="E16" i="7"/>
  <c r="E24" i="7" s="1"/>
  <c r="E15" i="7"/>
  <c r="E23" i="7" s="1"/>
  <c r="B33" i="7" s="1"/>
  <c r="E18" i="7"/>
  <c r="E26" i="7" s="1"/>
  <c r="E17" i="7"/>
  <c r="E25" i="7" s="1"/>
  <c r="G33" i="7" s="1"/>
  <c r="E19" i="7"/>
  <c r="E27" i="7" s="1"/>
  <c r="B18" i="5"/>
  <c r="D18" i="5" s="1"/>
  <c r="F18" i="5" s="1"/>
  <c r="H18" i="5" s="1"/>
  <c r="J18" i="5" s="1"/>
  <c r="B19" i="5"/>
  <c r="D19" i="5" s="1"/>
  <c r="F19" i="5" s="1"/>
  <c r="H19" i="5" s="1"/>
  <c r="J19" i="5" s="1"/>
  <c r="D32" i="7"/>
  <c r="B16" i="5"/>
  <c r="D16" i="5" s="1"/>
  <c r="F16" i="5" s="1"/>
  <c r="H16" i="5" s="1"/>
  <c r="J16" i="5" s="1"/>
  <c r="C17" i="7" l="1"/>
  <c r="C25" i="7" s="1"/>
  <c r="G31" i="7" s="1"/>
  <c r="C15" i="7"/>
  <c r="C23" i="7" s="1"/>
  <c r="C33" i="7"/>
  <c r="D33" i="7"/>
  <c r="E33" i="7"/>
  <c r="C31" i="7" l="1"/>
  <c r="B31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<sst xmlns="http://schemas.openxmlformats.org/spreadsheetml/2006/main" count="224" uniqueCount="156">
  <si>
    <t>Raw Data Input — Indian Real Estate CCA</t>
  </si>
  <si>
    <t xml:space="preserve">Metric Label </t>
  </si>
  <si>
    <t xml:space="preserve">DLF </t>
  </si>
  <si>
    <t xml:space="preserve">Oberoi Realty </t>
  </si>
  <si>
    <t xml:space="preserve">Prestige Estates </t>
  </si>
  <si>
    <t xml:space="preserve">Macrotech (Lodha) </t>
  </si>
  <si>
    <t xml:space="preserve">Sobha Ltd </t>
  </si>
  <si>
    <t xml:space="preserve">Brigade Enterprises </t>
  </si>
  <si>
    <t>COMPANY INFO</t>
  </si>
  <si>
    <t>STOCK TICKER</t>
  </si>
  <si>
    <t>EXCHANGE</t>
  </si>
  <si>
    <t>MARKET DATA</t>
  </si>
  <si>
    <t>Share Price</t>
  </si>
  <si>
    <t>Diluted shares Outstanding</t>
  </si>
  <si>
    <t>Equity value/ Market Cap</t>
  </si>
  <si>
    <t>CAPITAL STRUCTURE</t>
  </si>
  <si>
    <t>Total Debt</t>
  </si>
  <si>
    <t>Enterprise Value</t>
  </si>
  <si>
    <t xml:space="preserve">INCOME STATEMENT (LTM) </t>
  </si>
  <si>
    <t>Revenue</t>
  </si>
  <si>
    <t>EBITDA</t>
  </si>
  <si>
    <t>EBITDA Margin %</t>
  </si>
  <si>
    <t>Net Income</t>
  </si>
  <si>
    <t>REAL ESTATE SPECIFIC</t>
  </si>
  <si>
    <t>Pre-sales / Bookings</t>
  </si>
  <si>
    <t>Area Sold (mn sq ft)</t>
  </si>
  <si>
    <t>DLF</t>
  </si>
  <si>
    <t>OBEROIRLTY</t>
  </si>
  <si>
    <t>PRESTIGE</t>
  </si>
  <si>
    <t>LODHA</t>
  </si>
  <si>
    <t>SOBHA</t>
  </si>
  <si>
    <t>BRIGADE</t>
  </si>
  <si>
    <t>ANANTRAJ</t>
  </si>
  <si>
    <t>NSE</t>
  </si>
  <si>
    <t>Anant Raj Ltd</t>
  </si>
  <si>
    <t>EPS</t>
  </si>
  <si>
    <t>Net Debt</t>
  </si>
  <si>
    <t>Total Cash</t>
  </si>
  <si>
    <t>collections</t>
  </si>
  <si>
    <t>ENTERPRISE VALUE</t>
  </si>
  <si>
    <t>VALUATION MULTIPLES</t>
  </si>
  <si>
    <t>EV / Revenue</t>
  </si>
  <si>
    <t>EV / EBITDA</t>
  </si>
  <si>
    <t>P / E</t>
  </si>
  <si>
    <t>P / Pre-sales</t>
  </si>
  <si>
    <t>MEAN</t>
  </si>
  <si>
    <t>MEDIAN</t>
  </si>
  <si>
    <t>EV &amp; Multiples Calculation</t>
  </si>
  <si>
    <t>MULTIPLE BENCHMARKING</t>
  </si>
  <si>
    <t>MULTIPLE</t>
  </si>
  <si>
    <t>MIN</t>
  </si>
  <si>
    <t>MAX</t>
  </si>
  <si>
    <t>TRIMMED MEAN</t>
  </si>
  <si>
    <t>OUTLIER EXCLUSIONS</t>
  </si>
  <si>
    <t>IMPLIED VALUATION</t>
  </si>
  <si>
    <t>Sobha P/E of 143x excluded — margin compression outlier</t>
  </si>
  <si>
    <t>Anant Raj excluded from P/Pre-sales — metric not disclosed</t>
  </si>
  <si>
    <t>MULTIPLE USED</t>
  </si>
  <si>
    <t>METRIC (₹ CR)</t>
  </si>
  <si>
    <t>IMPLIED EV / MKT CAP</t>
  </si>
  <si>
    <t xml:space="preserve"> NET DEBT</t>
  </si>
  <si>
    <t>IMPLIED EQUITY VALUE</t>
  </si>
  <si>
    <t>SHARES (CR)</t>
  </si>
  <si>
    <t>IMPLIED SHARE PRICE</t>
  </si>
  <si>
    <t>CURRENT PRICE</t>
  </si>
  <si>
    <t>UPSIDE / DOWNSIDE %</t>
  </si>
  <si>
    <t>EV / REVENUE</t>
  </si>
  <si>
    <t>NA</t>
  </si>
  <si>
    <t>METHOD</t>
  </si>
  <si>
    <t>Football Field — Implied Equity Value Analysis</t>
  </si>
  <si>
    <t>Indian Real Estate | FY2025 Actuals | ₹ Crore</t>
  </si>
  <si>
    <t>Subject Company: DLF</t>
  </si>
  <si>
    <t>As of: March 2026</t>
  </si>
  <si>
    <t>P/PRE-SALES</t>
  </si>
  <si>
    <t>P/E</t>
  </si>
  <si>
    <t>EV/REVENUE</t>
  </si>
  <si>
    <t>STATISTICS</t>
  </si>
  <si>
    <t>MINIMUM</t>
  </si>
  <si>
    <t>25TH PERCENTILE</t>
  </si>
  <si>
    <t>75TH PERCENTILE</t>
  </si>
  <si>
    <t>MAXIMUM</t>
  </si>
  <si>
    <t>NO. OF COMPS (n)</t>
  </si>
  <si>
    <t>REVENUE</t>
  </si>
  <si>
    <t>NET INCOME</t>
  </si>
  <si>
    <t>PRE-SALES</t>
  </si>
  <si>
    <t>NET DEBT</t>
  </si>
  <si>
    <t>IN (₹Cr)</t>
  </si>
  <si>
    <t>MINIMUM IMPLIED</t>
  </si>
  <si>
    <t>25TH PERCENTILE IMPLIED</t>
  </si>
  <si>
    <t>MEDIAN IMPLIED</t>
  </si>
  <si>
    <t>75TH PERCENTILE IMPLIED</t>
  </si>
  <si>
    <t>MAXIMUM IMPLIED</t>
  </si>
  <si>
    <t>CHART STAGING TABLE</t>
  </si>
  <si>
    <t>Invisible Base (₹ Cr)</t>
  </si>
  <si>
    <t>Lower whisker (Min→P25)</t>
  </si>
  <si>
    <t>IQR box (P25→P75)</t>
  </si>
  <si>
    <t>Upper whisker (P75→Max)</t>
  </si>
  <si>
    <t>Current Mkt Cap</t>
  </si>
  <si>
    <t>Median implied</t>
  </si>
  <si>
    <t>Real Estate Operating Schedules</t>
  </si>
  <si>
    <t>Indian Real Estate | FY2025 | ₹ Crore unless stated</t>
  </si>
  <si>
    <t>Source: BSE Filings, Investor Presentations</t>
  </si>
  <si>
    <t>METRIC</t>
  </si>
  <si>
    <t>PRE-SALES &amp; COLLECTIONS TRACKER</t>
  </si>
  <si>
    <t>Pre-sales / Bookings (₹ Cr)</t>
  </si>
  <si>
    <t>YoY Growth %</t>
  </si>
  <si>
    <t>Collections (₹ Cr)</t>
  </si>
  <si>
    <t>Average Realization (₹ per sq ft)</t>
  </si>
  <si>
    <t>N/A</t>
  </si>
  <si>
    <t>Pre-sales / Market Cap (x)</t>
  </si>
  <si>
    <t>Pre-sales / EV (x)</t>
  </si>
  <si>
    <t>Collections / Pre-sales (%)</t>
  </si>
  <si>
    <t>Pre-sales Rank</t>
  </si>
  <si>
    <t>Area Sold Rank</t>
  </si>
  <si>
    <t>IMPLIED EQUITY VALUE — DLF</t>
  </si>
  <si>
    <t>COMPANY MULTIPLES</t>
  </si>
  <si>
    <t>EV/EBITDA</t>
  </si>
  <si>
    <t>Notes: 1. P/E excludes companies with P/E &gt; 250x (distorted by low base year earnings) 2. EV/EBITDA excludes DLF Properties — EBITDA margins distorted by large Other Income 3. P/Pre-sales based on 6 comps — Anant Raj excluded (pre-sales not disclosed in investor PPT). 4. All figures FY2025. Share prices as of dec 2025. Source: BSE filings, investor presentations. 5. Net Debt = Total Debt − Total Cash &amp; Equivalents</t>
  </si>
  <si>
    <t>(in ₹ crores)</t>
  </si>
  <si>
    <t>Pre-sales / Bookings of FY2024( ₹ Cr)</t>
  </si>
  <si>
    <t>Key Assumptions Table</t>
  </si>
  <si>
    <t>BSE filings</t>
  </si>
  <si>
    <t>Investor presentations</t>
  </si>
  <si>
    <t>Adjustments</t>
  </si>
  <si>
    <t>Data Sources</t>
  </si>
  <si>
    <t>Notes</t>
  </si>
  <si>
    <t>Assumptions</t>
  </si>
  <si>
    <t>Sobha Lmt. and Brigade Enterprises balance sheet-</t>
  </si>
  <si>
    <t>DLF excluded from EV/EBITDA trimmed mean —Other Income distortion</t>
  </si>
  <si>
    <t>Metric</t>
  </si>
  <si>
    <t>Comparable Company Analysis — DLF</t>
  </si>
  <si>
    <t>Date - February 2026 |  FY2025  |  Industry - Real Estate |  INR crore</t>
  </si>
  <si>
    <t>Valuation Summary Table</t>
  </si>
  <si>
    <t>Value</t>
  </si>
  <si>
    <t>Implied Price</t>
  </si>
  <si>
    <t>Upside / Downside</t>
  </si>
  <si>
    <t>Key Multiples Summary</t>
  </si>
  <si>
    <t>Multiple</t>
  </si>
  <si>
    <t>Min</t>
  </si>
  <si>
    <t>Median</t>
  </si>
  <si>
    <t>Max</t>
  </si>
  <si>
    <t>Selected</t>
  </si>
  <si>
    <t>NSE: DLF  ·  Source: DLF Annual Reports &amp; Investor Presentations</t>
  </si>
  <si>
    <t>Fiscal year used → FY2025</t>
  </si>
  <si>
    <t>Currency → INR crore</t>
  </si>
  <si>
    <t>Market data date → February 2026</t>
  </si>
  <si>
    <t>EV formula definition → EV = Market Cap + Net Debt</t>
  </si>
  <si>
    <t>EBITDA adjusted where other income inflates operating performance</t>
  </si>
  <si>
    <t>Sobha Ltd excluded from P/E due to outlier (143x)</t>
  </si>
  <si>
    <t>Missing data (e.g. Anant Raj pre-sales) excluded</t>
  </si>
  <si>
    <t>Company Annual Reports</t>
  </si>
  <si>
    <t>Cash includes balances beyond cash equivalents (may include restricted cash)</t>
  </si>
  <si>
    <t>Real estate earnings may vary due to revenue recognition</t>
  </si>
  <si>
    <t>Net Debt = Total Debt – Cash &amp; Cash Equivalents</t>
  </si>
  <si>
    <t xml:space="preserve">Valuation Basis - </t>
  </si>
  <si>
    <t>Valuation based primarily on EV/EBITDA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</si>
</sst>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&quot;x&quot;"/>
  </numFmts>
  <fonts count="29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-webkit-standard"/>
    </font>
    <font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sz val="12"/>
      <color rgb="FF0C0CEE"/>
      <name val="Calibri"/>
      <family val="2"/>
      <scheme val="minor"/>
    </font>
    <font>
      <b/>
      <sz val="12"/>
      <color rgb="FF0C0CEE"/>
      <name val="Calibri"/>
      <family val="2"/>
      <scheme val="minor"/>
    </font>
    <font>
      <sz val="12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color rgb="FF0432FF"/>
      <name val="Arial"/>
      <family val="2"/>
    </font>
    <font>
      <sz val="12"/>
      <color theme="1"/>
      <name val="Calibri"/>
      <family val="2"/>
    </font>
    <font>
      <b/>
      <sz val="22"/>
      <color rgb="FFFFFFFF"/>
      <name val="Arial"/>
      <family val="2"/>
    </font>
    <font>
      <b/>
      <sz val="12"/>
      <color rgb="FFFFFFFF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3.5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A49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1E798D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9BC2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3" fillId="0" borderId="0" xfId="0" applyFont="1"/>
    <xf numFmtId="0" fontId="1" fillId="3" borderId="0" xfId="0" applyFont="1" applyFill="1"/>
    <xf numFmtId="10" fontId="0" fillId="0" borderId="0" xfId="0" applyNumberFormat="1"/>
    <xf numFmtId="37" fontId="0" fillId="0" borderId="0" xfId="0" applyNumberFormat="1"/>
    <xf numFmtId="0" fontId="0" fillId="4" borderId="0" xfId="0" applyFill="1"/>
    <xf numFmtId="0" fontId="0" fillId="5" borderId="0" xfId="0" applyFill="1"/>
    <xf numFmtId="164" fontId="8" fillId="5" borderId="0" xfId="0" applyNumberFormat="1" applyFont="1" applyFill="1"/>
    <xf numFmtId="0" fontId="12" fillId="0" borderId="0" xfId="0" applyFont="1"/>
    <xf numFmtId="37" fontId="2" fillId="0" borderId="0" xfId="0" applyNumberFormat="1" applyFont="1" applyFill="1"/>
    <xf numFmtId="37" fontId="0" fillId="0" borderId="0" xfId="0" applyNumberFormat="1" applyFill="1"/>
    <xf numFmtId="0" fontId="0" fillId="0" borderId="0" xfId="0" applyFill="1"/>
    <xf numFmtId="43" fontId="0" fillId="0" borderId="0" xfId="1" applyFont="1" applyFill="1"/>
    <xf numFmtId="3" fontId="2" fillId="0" borderId="0" xfId="0" applyNumberFormat="1" applyFont="1" applyFill="1"/>
    <xf numFmtId="0" fontId="2" fillId="0" borderId="0" xfId="0" applyFont="1" applyFill="1"/>
    <xf numFmtId="3" fontId="0" fillId="0" borderId="0" xfId="0" applyNumberFormat="1" applyFill="1"/>
    <xf numFmtId="37" fontId="2" fillId="6" borderId="0" xfId="0" applyNumberFormat="1" applyFont="1" applyFill="1"/>
    <xf numFmtId="43" fontId="0" fillId="6" borderId="0" xfId="1" applyFont="1" applyFill="1"/>
    <xf numFmtId="0" fontId="0" fillId="6" borderId="0" xfId="0" applyFill="1"/>
    <xf numFmtId="37" fontId="14" fillId="2" borderId="0" xfId="0" applyNumberFormat="1" applyFont="1" applyFill="1"/>
    <xf numFmtId="37" fontId="0" fillId="7" borderId="0" xfId="0" applyNumberFormat="1" applyFill="1"/>
    <xf numFmtId="43" fontId="6" fillId="7" borderId="0" xfId="1" applyFont="1" applyFill="1"/>
    <xf numFmtId="0" fontId="0" fillId="7" borderId="0" xfId="0" applyFill="1"/>
    <xf numFmtId="37" fontId="2" fillId="7" borderId="0" xfId="0" applyNumberFormat="1" applyFont="1" applyFill="1"/>
    <xf numFmtId="43" fontId="7" fillId="7" borderId="0" xfId="1" applyFont="1" applyFill="1"/>
    <xf numFmtId="0" fontId="2" fillId="7" borderId="0" xfId="0" applyFont="1" applyFill="1"/>
    <xf numFmtId="43" fontId="17" fillId="8" borderId="0" xfId="1" applyFont="1" applyFill="1"/>
    <xf numFmtId="43" fontId="18" fillId="7" borderId="0" xfId="1" applyFont="1" applyFill="1"/>
    <xf numFmtId="43" fontId="19" fillId="7" borderId="0" xfId="1" applyFont="1" applyFill="1"/>
    <xf numFmtId="10" fontId="19" fillId="7" borderId="0" xfId="1" applyNumberFormat="1" applyFont="1" applyFill="1"/>
    <xf numFmtId="0" fontId="11" fillId="0" borderId="0" xfId="0" applyFont="1" applyFill="1"/>
    <xf numFmtId="0" fontId="15" fillId="0" borderId="0" xfId="0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8" fillId="0" borderId="0" xfId="0" applyNumberFormat="1" applyFont="1" applyFill="1"/>
    <xf numFmtId="10" fontId="8" fillId="0" borderId="0" xfId="0" applyNumberFormat="1" applyFont="1" applyFill="1"/>
    <xf numFmtId="164" fontId="0" fillId="0" borderId="0" xfId="0" applyNumberFormat="1" applyFill="1"/>
    <xf numFmtId="2" fontId="13" fillId="6" borderId="0" xfId="0" applyNumberFormat="1" applyFont="1" applyFill="1"/>
    <xf numFmtId="2" fontId="16" fillId="7" borderId="0" xfId="0" applyNumberFormat="1" applyFont="1" applyFill="1"/>
    <xf numFmtId="2" fontId="14" fillId="7" borderId="0" xfId="0" applyNumberFormat="1" applyFont="1" applyFill="1"/>
    <xf numFmtId="2" fontId="1" fillId="3" borderId="0" xfId="0" applyNumberFormat="1" applyFont="1" applyFill="1"/>
    <xf numFmtId="43" fontId="2" fillId="9" borderId="0" xfId="1" applyFont="1" applyFill="1"/>
    <xf numFmtId="2" fontId="0" fillId="10" borderId="0" xfId="0" applyNumberFormat="1" applyFill="1"/>
    <xf numFmtId="0" fontId="8" fillId="0" borderId="0" xfId="0" applyFont="1" applyFill="1"/>
    <xf numFmtId="10" fontId="0" fillId="0" borderId="0" xfId="0" applyNumberFormat="1" applyFill="1"/>
    <xf numFmtId="0" fontId="0" fillId="0" borderId="0" xfId="0" applyFont="1" applyFill="1"/>
    <xf numFmtId="37" fontId="0" fillId="0" borderId="0" xfId="0" applyNumberFormat="1" applyFont="1" applyFill="1"/>
    <xf numFmtId="2" fontId="0" fillId="0" borderId="0" xfId="0" applyNumberFormat="1" applyFont="1" applyFill="1"/>
    <xf numFmtId="164" fontId="8" fillId="0" borderId="0" xfId="0" applyNumberFormat="1" applyFont="1" applyFill="1"/>
    <xf numFmtId="0" fontId="13" fillId="3" borderId="0" xfId="0" applyFont="1" applyFill="1"/>
    <xf numFmtId="0" fontId="2" fillId="2" borderId="0" xfId="0" applyFont="1" applyFill="1"/>
    <xf numFmtId="0" fontId="2" fillId="10" borderId="0" xfId="0" applyFont="1" applyFill="1"/>
    <xf numFmtId="0" fontId="0" fillId="10" borderId="0" xfId="0" applyFont="1" applyFill="1"/>
    <xf numFmtId="0" fontId="2" fillId="8" borderId="0" xfId="0" applyFont="1" applyFill="1"/>
    <xf numFmtId="0" fontId="9" fillId="8" borderId="0" xfId="0" applyFont="1" applyFill="1"/>
    <xf numFmtId="0" fontId="0" fillId="8" borderId="0" xfId="0" applyFont="1" applyFill="1"/>
    <xf numFmtId="10" fontId="0" fillId="8" borderId="0" xfId="0" applyNumberFormat="1" applyFont="1" applyFill="1"/>
    <xf numFmtId="10" fontId="0" fillId="11" borderId="0" xfId="0" applyNumberFormat="1" applyFont="1" applyFill="1"/>
    <xf numFmtId="37" fontId="8" fillId="5" borderId="0" xfId="0" applyNumberFormat="1" applyFont="1" applyFill="1"/>
    <xf numFmtId="0" fontId="8" fillId="10" borderId="0" xfId="0" applyFont="1" applyFill="1"/>
    <xf numFmtId="0" fontId="5" fillId="0" borderId="0" xfId="0" applyFont="1" applyFill="1"/>
    <xf numFmtId="2" fontId="5" fillId="0" borderId="0" xfId="0" applyNumberFormat="1" applyFont="1" applyFill="1"/>
    <xf numFmtId="37" fontId="11" fillId="0" borderId="0" xfId="0" applyNumberFormat="1" applyFont="1" applyFill="1"/>
    <xf numFmtId="37" fontId="15" fillId="0" borderId="0" xfId="0" applyNumberFormat="1" applyFont="1" applyFill="1"/>
    <xf numFmtId="2" fontId="10" fillId="0" borderId="0" xfId="0" applyNumberFormat="1" applyFont="1" applyFill="1"/>
    <xf numFmtId="3" fontId="10" fillId="0" borderId="0" xfId="0" applyNumberFormat="1" applyFont="1" applyFill="1"/>
    <xf numFmtId="0" fontId="2" fillId="4" borderId="0" xfId="0" applyFont="1" applyFill="1"/>
    <xf numFmtId="0" fontId="0" fillId="10" borderId="0" xfId="0" applyFill="1"/>
    <xf numFmtId="0" fontId="2" fillId="12" borderId="0" xfId="0" applyFont="1" applyFill="1"/>
    <xf numFmtId="0" fontId="1" fillId="13" borderId="0" xfId="0" applyFont="1" applyFill="1"/>
    <xf numFmtId="2" fontId="8" fillId="8" borderId="0" xfId="0" applyNumberFormat="1" applyFont="1" applyFill="1"/>
    <xf numFmtId="0" fontId="0" fillId="4" borderId="0" xfId="0" applyFont="1" applyFill="1"/>
    <xf numFmtId="43" fontId="0" fillId="8" borderId="0" xfId="1" applyFont="1" applyFill="1"/>
    <xf numFmtId="10" fontId="0" fillId="8" borderId="0" xfId="0" applyNumberFormat="1" applyFill="1"/>
    <xf numFmtId="164" fontId="0" fillId="8" borderId="0" xfId="0" applyNumberFormat="1" applyFill="1"/>
    <xf numFmtId="0" fontId="0" fillId="8" borderId="0" xfId="0" applyFill="1"/>
    <xf numFmtId="0" fontId="6" fillId="0" borderId="0" xfId="0" applyFont="1" applyFill="1"/>
    <xf numFmtId="164" fontId="19" fillId="4" borderId="0" xfId="0" applyNumberFormat="1" applyFont="1" applyFill="1"/>
    <xf numFmtId="0" fontId="19" fillId="0" borderId="0" xfId="0" applyFont="1" applyFill="1"/>
    <xf numFmtId="0" fontId="18" fillId="10" borderId="0" xfId="0" applyFont="1" applyFill="1"/>
    <xf numFmtId="0" fontId="19" fillId="12" borderId="0" xfId="0" applyFont="1" applyFill="1"/>
    <xf numFmtId="0" fontId="19" fillId="13" borderId="0" xfId="0" applyFont="1" applyFill="1"/>
    <xf numFmtId="43" fontId="4" fillId="5" borderId="0" xfId="1" applyFont="1" applyFill="1"/>
    <xf numFmtId="10" fontId="4" fillId="5" borderId="0" xfId="0" applyNumberFormat="1" applyFont="1" applyFill="1"/>
    <xf numFmtId="0" fontId="4" fillId="10" borderId="0" xfId="0" applyFont="1" applyFill="1"/>
    <xf numFmtId="43" fontId="8" fillId="0" borderId="0" xfId="1" applyFont="1" applyFill="1"/>
    <xf numFmtId="43" fontId="5" fillId="0" borderId="0" xfId="1" applyFont="1" applyFill="1"/>
    <xf numFmtId="43" fontId="5" fillId="8" borderId="0" xfId="1" applyFont="1" applyFill="1"/>
    <xf numFmtId="3" fontId="20" fillId="0" borderId="0" xfId="0" applyNumberFormat="1" applyFont="1"/>
    <xf numFmtId="0" fontId="0" fillId="7" borderId="0" xfId="0" applyFont="1" applyFill="1"/>
    <xf numFmtId="0" fontId="21" fillId="0" borderId="0" xfId="0" applyFont="1"/>
    <xf numFmtId="0" fontId="22" fillId="14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24" fillId="15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26" fillId="14" borderId="0" xfId="0" applyFont="1" applyFill="1" applyAlignment="1">
      <alignment horizontal="center"/>
    </xf>
    <xf numFmtId="0" fontId="27" fillId="0" borderId="0" xfId="0" applyFont="1"/>
    <xf numFmtId="0" fontId="26" fillId="14" borderId="1" xfId="0" applyFont="1" applyFill="1" applyBorder="1"/>
    <xf numFmtId="0" fontId="27" fillId="17" borderId="1" xfId="0" applyFont="1" applyFill="1" applyBorder="1"/>
    <xf numFmtId="0" fontId="28" fillId="0" borderId="0" xfId="0" applyFont="1"/>
    <xf numFmtId="10" fontId="21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0432FF"/>
      <color rgb="FF0C0CEE"/>
      <color rgb="FFFCE5CD"/>
      <color rgb="FFF9A49F"/>
      <color rgb="FFFF594E"/>
      <color rgb="FFEF7067"/>
      <color rgb="FFF1F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Football Field — Implied Equity Value (₹ Crore)</a:t>
            </a:r>
          </a:p>
          <a:p>
            <a:pPr>
              <a:defRPr/>
            </a:pPr>
            <a:r>
              <a:rPr lang="en-IN">
                <a:effectLst/>
              </a:rPr>
              <a:t>Subject: DLF | FY2025 Comps | 8 Companies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 Chart'!$B$29</c:f>
              <c:strCache>
                <c:ptCount val="1"/>
                <c:pt idx="0">
                  <c:v>Invisible Base (₹ Cr)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'Football Field Chart'!$A$30:$A$33</c:f>
              <c:strCache>
                <c:ptCount val="4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P/PRE-SALES</c:v>
                </c:pt>
              </c:strCache>
            </c:strRef>
          </c:cat>
          <c:val>
            <c:numRef>
              <c:f>'Football Field Chart'!$B$30:$B$33</c:f>
              <c:numCache>
                <c:formatCode>General</c:formatCode>
                <c:ptCount val="4"/>
                <c:pt idx="0">
                  <c:v>14419.901428571427</c:v>
                </c:pt>
                <c:pt idx="1">
                  <c:v>46521.481504102092</c:v>
                </c:pt>
                <c:pt idx="2">
                  <c:v>37937.886792452831</c:v>
                </c:pt>
                <c:pt idx="3">
                  <c:v>42965.283292978202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0-114E-BB3D-E6A9549269AD}"/>
            </c:ext>
          </c:extLst>
        </c:ser>
        <c:ser>
          <c:idx val="1"/>
          <c:order val="1"/>
          <c:tx>
            <c:strRef>
              <c:f>'Football Field Chart'!$C$29</c:f>
              <c:strCache>
                <c:ptCount val="1"/>
                <c:pt idx="0">
                  <c:v>Lower whisker (Min→P25)</c:v>
                </c:pt>
              </c:strCache>
            </c:strRef>
          </c:tx>
          <c:spPr>
            <a:solidFill>
              <a:srgbClr val="00B0F0"/>
            </a:solidFill>
            <a:ln w="6350">
              <a:solidFill>
                <a:schemeClr val="accent1"/>
              </a:solidFill>
            </a:ln>
            <a:effectLst/>
          </c:spPr>
          <c:invertIfNegative val="0"/>
          <c:cat>
            <c:strRef>
              <c:f>'Football Field Chart'!$A$30:$A$33</c:f>
              <c:strCache>
                <c:ptCount val="4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P/PRE-SALES</c:v>
                </c:pt>
              </c:strCache>
            </c:strRef>
          </c:cat>
          <c:val>
            <c:numRef>
              <c:f>'Football Field Chart'!$C$30:$C$33</c:f>
              <c:numCache>
                <c:formatCode>General</c:formatCode>
                <c:ptCount val="4"/>
                <c:pt idx="0">
                  <c:v>17740.600872279974</c:v>
                </c:pt>
                <c:pt idx="1">
                  <c:v>16250.656578685259</c:v>
                </c:pt>
                <c:pt idx="2">
                  <c:v>19071.669084911809</c:v>
                </c:pt>
                <c:pt idx="3">
                  <c:v>5467.245908869816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0-114E-BB3D-E6A9549269AD}"/>
            </c:ext>
          </c:extLst>
        </c:ser>
        <c:ser>
          <c:idx val="2"/>
          <c:order val="2"/>
          <c:tx>
            <c:strRef>
              <c:f>'Football Field Chart'!$D$29</c:f>
              <c:strCache>
                <c:ptCount val="1"/>
                <c:pt idx="0">
                  <c:v>IQR box (P25→P75)</c:v>
                </c:pt>
              </c:strCache>
            </c:strRef>
          </c:tx>
          <c:spPr>
            <a:solidFill>
              <a:srgbClr val="0432FF"/>
            </a:solidFill>
            <a:ln w="9525">
              <a:solidFill>
                <a:schemeClr val="accent1"/>
              </a:solidFill>
            </a:ln>
            <a:effectLst/>
          </c:spPr>
          <c:invertIfNegative val="0"/>
          <c:cat>
            <c:strRef>
              <c:f>'Football Field Chart'!$A$30:$A$33</c:f>
              <c:strCache>
                <c:ptCount val="4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P/PRE-SALES</c:v>
                </c:pt>
              </c:strCache>
            </c:strRef>
          </c:cat>
          <c:val>
            <c:numRef>
              <c:f>'Football Field Chart'!$D$30:$D$33</c:f>
              <c:numCache>
                <c:formatCode>General</c:formatCode>
                <c:ptCount val="4"/>
                <c:pt idx="0">
                  <c:v>23415.516776613287</c:v>
                </c:pt>
                <c:pt idx="1">
                  <c:v>68340.588390881647</c:v>
                </c:pt>
                <c:pt idx="2">
                  <c:v>123590.02964938027</c:v>
                </c:pt>
                <c:pt idx="3">
                  <c:v>55926.655773761733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0-114E-BB3D-E6A9549269AD}"/>
            </c:ext>
          </c:extLst>
        </c:ser>
        <c:ser>
          <c:idx val="3"/>
          <c:order val="3"/>
          <c:tx>
            <c:strRef>
              <c:f>'Football Field Chart'!$E$29</c:f>
              <c:strCache>
                <c:ptCount val="1"/>
                <c:pt idx="0">
                  <c:v>Upper whisker (P75→Max)</c:v>
                </c:pt>
              </c:strCache>
            </c:strRef>
          </c:tx>
          <c:spPr>
            <a:solidFill>
              <a:srgbClr val="00B0F0"/>
            </a:solidFill>
            <a:ln w="6350">
              <a:solidFill>
                <a:schemeClr val="accent1"/>
              </a:solidFill>
            </a:ln>
            <a:effectLst/>
          </c:spPr>
          <c:invertIfNegative val="0"/>
          <c:cat>
            <c:strRef>
              <c:f>'Football Field Chart'!$A$30:$A$33</c:f>
              <c:strCache>
                <c:ptCount val="4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P/PRE-SALES</c:v>
                </c:pt>
              </c:strCache>
            </c:strRef>
          </c:cat>
          <c:val>
            <c:numRef>
              <c:f>'Football Field Chart'!$E$30:$E$33</c:f>
              <c:numCache>
                <c:formatCode>General</c:formatCode>
                <c:ptCount val="4"/>
                <c:pt idx="0">
                  <c:v>30981.877264338298</c:v>
                </c:pt>
                <c:pt idx="1">
                  <c:v>26046.646697062679</c:v>
                </c:pt>
                <c:pt idx="2">
                  <c:v>274284.10431282723</c:v>
                </c:pt>
                <c:pt idx="3">
                  <c:v>225682.23824231286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F0-114E-BB3D-E6A954926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941887"/>
        <c:axId val="1976938751"/>
      </c:barChart>
      <c:scatterChart>
        <c:scatterStyle val="lineMarker"/>
        <c:varyColors val="0"/>
        <c:ser>
          <c:idx val="4"/>
          <c:order val="4"/>
          <c:tx>
            <c:v>Current Market Cap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'Football Field Chart'!$F$30:$F$33</c:f>
              <c:numCache>
                <c:formatCode>0.00</c:formatCode>
                <c:ptCount val="4"/>
                <c:pt idx="0">
                  <c:v>141834.69</c:v>
                </c:pt>
                <c:pt idx="1">
                  <c:v>141834.69</c:v>
                </c:pt>
                <c:pt idx="2">
                  <c:v>141834.69</c:v>
                </c:pt>
                <c:pt idx="3">
                  <c:v>141834.69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F0-114E-BB3D-E6A9549269AD}"/>
            </c:ext>
          </c:extLst>
        </c:ser>
        <c:ser>
          <c:idx val="5"/>
          <c:order val="5"/>
          <c:tx>
            <c:strRef>
              <c:f>'Football Field Chart'!$G$29</c:f>
              <c:strCache>
                <c:ptCount val="1"/>
                <c:pt idx="0">
                  <c:v>Median implied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'Football Field Chart'!$G$30:$G$33</c:f>
              <c:numCache>
                <c:formatCode>General</c:formatCode>
                <c:ptCount val="4"/>
                <c:pt idx="0">
                  <c:v>39458.331418180947</c:v>
                </c:pt>
                <c:pt idx="1">
                  <c:v>77932.851389634132</c:v>
                </c:pt>
                <c:pt idx="2">
                  <c:v>89352.657808219185</c:v>
                </c:pt>
                <c:pt idx="3">
                  <c:v>67120.55821535569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F0-114E-BB3D-E6A954926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312895"/>
        <c:axId val="1984303487"/>
      </c:scatterChart>
      <c:catAx>
        <c:axId val="197694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38751"/>
        <c:crosses val="autoZero"/>
        <c:auto val="1"/>
        <c:lblAlgn val="ctr"/>
        <c:lblOffset val="100"/>
        <c:noMultiLvlLbl val="0"/>
      </c:catAx>
      <c:valAx>
        <c:axId val="19769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41887"/>
        <c:crosses val="autoZero"/>
        <c:crossBetween val="between"/>
      </c:valAx>
      <c:valAx>
        <c:axId val="19843034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12895"/>
        <c:crosses val="max"/>
        <c:crossBetween val="midCat"/>
      </c:valAx>
      <c:valAx>
        <c:axId val="1984312895"/>
        <c:scaling>
          <c:orientation val="minMax"/>
        </c:scaling>
        <c:delete val="1"/>
        <c:axPos val="b"/>
        <c:majorTickMark val="out"/>
        <c:minorTickMark val="none"/>
        <c:tickLblPos val="nextTo"/>
        <c:crossAx val="1984303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1667933</xdr:colOff>
      <xdr:row>35</xdr:row>
      <xdr:rowOff>42334</xdr:rowOff>
    </xdr:from>
    <xdr:to>
      <xdr:col>4</xdr:col>
      <xdr:colOff>1092200</xdr:colOff>
      <xdr:row>48</xdr:row>
      <xdr:rowOff>143934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4A8CC-06D4-55C5-6A11-A7B68AA08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6F2B-ADEA-B943-A25B-9165E41D9C8F}">
  <dimension ref="A1:K26"/>
  <sheetViews>
    <sheetView tabSelected="1" workbookViewId="0">
      <selection activeCell="D25" sqref="D25"/>
    </sheetView>
  </sheetViews>
  <sheetFormatPr baseColWidth="10" defaultRowHeight="16"/>
  <cols>
    <col min="1" max="1" width="3.83203125" customWidth="1"/>
    <col min="2" max="2" width="16.83203125" bestFit="1" customWidth="1"/>
    <col min="3" max="3" width="14.33203125" bestFit="1" customWidth="1"/>
    <col min="4" max="4" width="16.83203125" bestFit="1" customWidth="1"/>
    <col min="5" max="5" width="12.1640625" bestFit="1" customWidth="1"/>
    <col min="8" max="8" width="10.83203125" customWidth="1"/>
  </cols>
  <sheetData>
    <row r="1" spans="1:1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>
      <c r="A2" s="91"/>
      <c r="B2" s="92" t="s">
        <v>130</v>
      </c>
      <c r="C2" s="93"/>
      <c r="D2" s="93"/>
      <c r="E2" s="93"/>
      <c r="F2" s="93"/>
      <c r="G2" s="93"/>
      <c r="H2" s="93"/>
      <c r="I2" s="91"/>
      <c r="J2" s="91"/>
      <c r="K2" s="91"/>
    </row>
    <row r="3" spans="1:11">
      <c r="A3" s="91"/>
      <c r="B3" s="93"/>
      <c r="C3" s="93"/>
      <c r="D3" s="93"/>
      <c r="E3" s="93"/>
      <c r="F3" s="93"/>
      <c r="G3" s="93"/>
      <c r="H3" s="93"/>
      <c r="I3" s="91"/>
      <c r="J3" s="91"/>
      <c r="K3" s="91"/>
    </row>
    <row r="4" spans="1:11">
      <c r="A4" s="91"/>
      <c r="B4" s="93"/>
      <c r="C4" s="93"/>
      <c r="D4" s="93"/>
      <c r="E4" s="93"/>
      <c r="F4" s="93"/>
      <c r="G4" s="93"/>
      <c r="H4" s="93"/>
      <c r="I4" s="91"/>
      <c r="J4" s="91"/>
      <c r="K4" s="91"/>
    </row>
    <row r="5" spans="1:11">
      <c r="A5" s="91"/>
      <c r="B5" s="94" t="s">
        <v>131</v>
      </c>
      <c r="C5" s="94"/>
      <c r="D5" s="94"/>
      <c r="E5" s="94"/>
      <c r="F5" s="94"/>
      <c r="G5" s="94"/>
      <c r="H5" s="94"/>
      <c r="I5" s="91"/>
      <c r="J5" s="91"/>
      <c r="K5" s="91"/>
    </row>
    <row r="6" spans="1:11">
      <c r="A6" s="91"/>
      <c r="B6" s="94"/>
      <c r="C6" s="94"/>
      <c r="D6" s="94"/>
      <c r="E6" s="94"/>
      <c r="F6" s="94"/>
      <c r="G6" s="94"/>
      <c r="H6" s="94"/>
      <c r="I6" s="91"/>
      <c r="J6" s="91"/>
      <c r="K6" s="91"/>
    </row>
    <row r="7" spans="1:11">
      <c r="A7" s="91"/>
      <c r="B7" s="95" t="s">
        <v>142</v>
      </c>
      <c r="C7" s="95"/>
      <c r="D7" s="95"/>
      <c r="E7" s="95"/>
      <c r="F7" s="95"/>
      <c r="G7" s="95"/>
      <c r="H7" s="95"/>
      <c r="I7" s="91"/>
      <c r="J7" s="91"/>
      <c r="K7" s="91"/>
    </row>
    <row r="8" spans="1:11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>
      <c r="A9" s="91"/>
      <c r="B9" s="96" t="s">
        <v>132</v>
      </c>
      <c r="C9" s="96"/>
      <c r="D9" s="96"/>
      <c r="E9" s="96"/>
      <c r="F9" s="96"/>
      <c r="G9" s="96"/>
      <c r="H9" s="96"/>
      <c r="I9" s="91"/>
      <c r="J9" s="91"/>
      <c r="K9" s="91"/>
    </row>
    <row r="10" spans="1:11">
      <c r="A10" s="97"/>
      <c r="D10" s="98" t="s">
        <v>129</v>
      </c>
      <c r="E10" s="99" t="s">
        <v>133</v>
      </c>
      <c r="F10" s="91"/>
      <c r="G10" s="91"/>
      <c r="H10" s="91"/>
      <c r="I10" s="91"/>
      <c r="J10" s="91"/>
      <c r="K10" s="97"/>
    </row>
    <row r="11" spans="1:11">
      <c r="A11" s="91"/>
      <c r="D11" t="s">
        <v>12</v>
      </c>
      <c r="E11" s="1">
        <f>'EV &amp; Multiples Calculation'!B5</f>
        <v>573</v>
      </c>
      <c r="F11" s="91"/>
      <c r="G11" s="91"/>
      <c r="H11" s="91"/>
      <c r="I11" s="91"/>
      <c r="J11" s="91"/>
      <c r="K11" s="91"/>
    </row>
    <row r="12" spans="1:11">
      <c r="A12" s="91"/>
      <c r="D12" t="s">
        <v>134</v>
      </c>
      <c r="E12" s="1">
        <f>'Benchmarking &amp; Target Valuation'!H17</f>
        <v>408.57337115633192</v>
      </c>
      <c r="F12" s="91"/>
      <c r="G12" s="91"/>
      <c r="H12" s="91"/>
      <c r="I12" s="91"/>
      <c r="J12" s="91"/>
      <c r="K12" s="91"/>
    </row>
    <row r="13" spans="1:11">
      <c r="A13" s="91"/>
      <c r="D13" t="s">
        <v>135</v>
      </c>
      <c r="E13" s="4">
        <f>(E12/E11)-1</f>
        <v>-0.28695746744095652</v>
      </c>
      <c r="F13" s="91"/>
      <c r="G13" s="91"/>
      <c r="H13" s="91"/>
      <c r="I13" s="91"/>
      <c r="J13" s="91"/>
      <c r="K13" s="91"/>
    </row>
    <row r="14" spans="1:11">
      <c r="A14" s="91"/>
      <c r="B14" s="91"/>
      <c r="C14" s="101"/>
      <c r="D14" s="91"/>
      <c r="E14" s="91"/>
      <c r="F14" s="91"/>
      <c r="G14" s="91"/>
      <c r="H14" s="91"/>
      <c r="I14" s="91"/>
      <c r="J14" s="91"/>
      <c r="K14" s="91"/>
    </row>
    <row r="15" spans="1:11">
      <c r="A15" s="91"/>
      <c r="B15" s="96" t="s">
        <v>136</v>
      </c>
      <c r="C15" s="96"/>
      <c r="D15" s="96"/>
      <c r="E15" s="96"/>
      <c r="F15" s="96"/>
      <c r="G15" s="96"/>
      <c r="H15" s="96"/>
      <c r="I15" s="91"/>
      <c r="J15" s="91"/>
      <c r="K15" s="91"/>
    </row>
    <row r="16" spans="1:11">
      <c r="A16" s="91"/>
      <c r="C16" s="98" t="s">
        <v>137</v>
      </c>
      <c r="D16" s="99" t="s">
        <v>138</v>
      </c>
      <c r="E16" s="99" t="s">
        <v>139</v>
      </c>
      <c r="F16" s="99" t="s">
        <v>140</v>
      </c>
      <c r="G16" s="99" t="s">
        <v>141</v>
      </c>
      <c r="H16" s="91"/>
      <c r="I16" s="91"/>
      <c r="J16" s="91"/>
      <c r="K16" s="91"/>
    </row>
    <row r="17" spans="1:11" ht="19">
      <c r="A17" s="91"/>
      <c r="C17" s="100" t="s">
        <v>42</v>
      </c>
      <c r="D17" s="37">
        <f>'Benchmarking &amp; Target Valuation'!B5</f>
        <v>16.938985110908536</v>
      </c>
      <c r="E17" s="37">
        <f>'Benchmarking &amp; Target Valuation'!E5</f>
        <v>32.036448598130839</v>
      </c>
      <c r="F17" s="37">
        <f>'Benchmarking &amp; Target Valuation'!C5</f>
        <v>56.636829268292672</v>
      </c>
      <c r="G17" s="37">
        <f>E17</f>
        <v>32.036448598130839</v>
      </c>
      <c r="H17" s="37"/>
      <c r="I17" s="91"/>
      <c r="J17" s="91"/>
      <c r="K17" s="91"/>
    </row>
    <row r="18" spans="1:11" ht="19">
      <c r="A18" s="91"/>
      <c r="C18" s="100" t="s">
        <v>41</v>
      </c>
      <c r="D18" s="37">
        <f>'Benchmarking &amp; Target Valuation'!B4</f>
        <v>3.371428571428571</v>
      </c>
      <c r="E18" s="37">
        <f>'Benchmarking &amp; Target Valuation'!E4</f>
        <v>10.546008323874384</v>
      </c>
      <c r="F18" s="37">
        <f>'Benchmarking &amp; Target Valuation'!C4</f>
        <v>31.805882615487615</v>
      </c>
      <c r="G18" s="37">
        <f t="shared" ref="G18:G19" si="0">E18</f>
        <v>10.546008323874384</v>
      </c>
      <c r="H18" s="37"/>
      <c r="I18" s="91"/>
      <c r="J18" s="91"/>
      <c r="K18" s="91"/>
    </row>
    <row r="19" spans="1:11" ht="19">
      <c r="A19" s="91"/>
      <c r="C19" s="100" t="s">
        <v>43</v>
      </c>
      <c r="D19" s="37">
        <f>'Benchmarking &amp; Target Valuation'!B6</f>
        <v>24.01132075471698</v>
      </c>
      <c r="E19" s="37">
        <f>'Benchmarking &amp; Target Valuation'!E6</f>
        <v>73.519497716894975</v>
      </c>
      <c r="F19" s="37">
        <f>'Benchmarking &amp; Target Valuation'!C6</f>
        <v>287.90106951871655</v>
      </c>
      <c r="G19" s="37" t="s">
        <v>108</v>
      </c>
      <c r="H19" s="37"/>
      <c r="I19" s="91"/>
      <c r="J19" s="91"/>
      <c r="K19" s="91"/>
    </row>
    <row r="20" spans="1:11">
      <c r="A20" s="91"/>
      <c r="C20" s="91"/>
      <c r="D20" s="37"/>
      <c r="E20" s="37"/>
      <c r="F20" s="37"/>
      <c r="G20" s="37"/>
      <c r="H20" s="37"/>
      <c r="I20" s="91"/>
      <c r="J20" s="91"/>
      <c r="K20" s="91"/>
    </row>
    <row r="21" spans="1:11">
      <c r="A21" s="91"/>
      <c r="C21" s="91"/>
      <c r="D21" s="37"/>
      <c r="E21" s="37"/>
      <c r="F21" s="37"/>
      <c r="G21" s="37"/>
      <c r="H21" s="37"/>
      <c r="I21" s="91"/>
      <c r="J21" s="91"/>
      <c r="K21" s="91"/>
    </row>
    <row r="22" spans="1:11">
      <c r="A22" s="91"/>
      <c r="B22" s="91"/>
      <c r="C22" s="91"/>
      <c r="D22" s="37"/>
      <c r="E22" s="37"/>
      <c r="F22" s="37"/>
      <c r="G22" s="37"/>
      <c r="H22" s="37"/>
      <c r="I22" s="91"/>
      <c r="J22" s="91"/>
      <c r="K22" s="91"/>
    </row>
    <row r="23" spans="1:1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spans="1:1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spans="1:1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spans="1:1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</row>
  </sheetData>
  <mergeCells count="5">
    <mergeCell ref="B2:H4"/>
    <mergeCell ref="B5:H6"/>
    <mergeCell ref="B7:H7"/>
    <mergeCell ref="B9:H9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1A76-FBFB-9A45-BA79-ABB1BC8C1A45}">
  <sheetPr>
    <tabColor theme="1" tint="0.499984740745262"/>
  </sheetPr>
  <dimension ref="A1:F26"/>
  <sheetViews>
    <sheetView workbookViewId="0">
      <selection activeCell="B26" sqref="B26"/>
    </sheetView>
  </sheetViews>
  <sheetFormatPr baseColWidth="10" defaultRowHeight="16"/>
  <cols>
    <col min="1" max="1" width="59.1640625" bestFit="1" customWidth="1"/>
  </cols>
  <sheetData>
    <row r="1" spans="1:1">
      <c r="A1" s="3" t="s">
        <v>126</v>
      </c>
    </row>
    <row r="3" spans="1:1">
      <c r="A3" s="26" t="s">
        <v>120</v>
      </c>
    </row>
    <row r="4" spans="1:1">
      <c r="A4" s="23" t="s">
        <v>143</v>
      </c>
    </row>
    <row r="5" spans="1:1" s="12" customFormat="1">
      <c r="A5" s="23" t="s">
        <v>144</v>
      </c>
    </row>
    <row r="6" spans="1:1" s="12" customFormat="1">
      <c r="A6" s="23" t="s">
        <v>145</v>
      </c>
    </row>
    <row r="7" spans="1:1" s="12" customFormat="1">
      <c r="A7" s="23" t="s">
        <v>146</v>
      </c>
    </row>
    <row r="8" spans="1:1" s="12" customFormat="1">
      <c r="A8"/>
    </row>
    <row r="9" spans="1:1" s="12" customFormat="1">
      <c r="A9" s="26" t="s">
        <v>123</v>
      </c>
    </row>
    <row r="10" spans="1:1" s="12" customFormat="1">
      <c r="A10" s="26" t="s">
        <v>47</v>
      </c>
    </row>
    <row r="11" spans="1:1" s="12" customFormat="1">
      <c r="A11" s="90" t="s">
        <v>147</v>
      </c>
    </row>
    <row r="12" spans="1:1" s="12" customFormat="1">
      <c r="A12" s="23" t="s">
        <v>148</v>
      </c>
    </row>
    <row r="13" spans="1:1">
      <c r="A13" s="23" t="s">
        <v>149</v>
      </c>
    </row>
    <row r="15" spans="1:1">
      <c r="A15" s="26" t="s">
        <v>124</v>
      </c>
    </row>
    <row r="16" spans="1:1">
      <c r="A16" s="23" t="s">
        <v>121</v>
      </c>
    </row>
    <row r="17" spans="1:6" ht="18">
      <c r="A17" s="23" t="s">
        <v>122</v>
      </c>
      <c r="F17" s="2"/>
    </row>
    <row r="18" spans="1:6" ht="18">
      <c r="A18" s="23" t="s">
        <v>150</v>
      </c>
      <c r="F18" s="2"/>
    </row>
    <row r="19" spans="1:6" ht="17">
      <c r="F19" s="9"/>
    </row>
    <row r="20" spans="1:6">
      <c r="A20" s="3" t="s">
        <v>125</v>
      </c>
    </row>
    <row r="21" spans="1:6">
      <c r="A21">
        <v>1</v>
      </c>
      <c r="B21" s="12" t="s">
        <v>127</v>
      </c>
    </row>
    <row r="22" spans="1:6">
      <c r="B22" t="s">
        <v>151</v>
      </c>
    </row>
    <row r="23" spans="1:6">
      <c r="B23" t="s">
        <v>152</v>
      </c>
    </row>
    <row r="24" spans="1:6">
      <c r="A24">
        <v>2</v>
      </c>
      <c r="B24" t="s">
        <v>153</v>
      </c>
    </row>
    <row r="25" spans="1:6">
      <c r="A25">
        <v>3</v>
      </c>
      <c r="B25" t="s">
        <v>154</v>
      </c>
    </row>
    <row r="26" spans="1:6">
      <c r="B26" t="s">
        <v>155</v>
      </c>
    </row>
  </sheetData>
  <autoFilter ref="A20:B22" xr:uid="{327C1A76-FBFB-9A45-BA79-ABB1BC8C1A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049C-BC4C-8949-9DE5-559E26E9E166}">
  <sheetPr>
    <tabColor rgb="FF0C0CEE"/>
  </sheetPr>
  <dimension ref="A1:I46"/>
  <sheetViews>
    <sheetView showGridLines="0" zoomScaleNormal="10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D27" sqref="D27"/>
    </sheetView>
  </sheetViews>
  <sheetFormatPr baseColWidth="10" defaultRowHeight="16"/>
  <cols>
    <col min="1" max="1" width="36.83203125" bestFit="1" customWidth="1"/>
    <col min="2" max="2" width="13" bestFit="1" customWidth="1"/>
    <col min="3" max="3" width="15" bestFit="1" customWidth="1"/>
    <col min="4" max="4" width="17.33203125" bestFit="1" customWidth="1"/>
    <col min="5" max="5" width="20.5" bestFit="1" customWidth="1"/>
    <col min="6" max="6" width="11.6640625" bestFit="1" customWidth="1"/>
    <col min="7" max="7" width="21" bestFit="1" customWidth="1"/>
    <col min="8" max="8" width="14.5" bestFit="1" customWidth="1"/>
    <col min="9" max="9" width="13.83203125" bestFit="1" customWidth="1"/>
  </cols>
  <sheetData>
    <row r="1" spans="1:9" s="31" customFormat="1">
      <c r="A1" s="3" t="s">
        <v>0</v>
      </c>
      <c r="B1" s="11"/>
      <c r="C1" s="11"/>
      <c r="D1" s="11"/>
      <c r="E1" s="11"/>
      <c r="F1" s="11"/>
      <c r="G1" s="11"/>
      <c r="H1" s="11"/>
    </row>
    <row r="2" spans="1:9" s="12" customFormat="1">
      <c r="A2" s="10" t="s">
        <v>118</v>
      </c>
      <c r="B2" s="11"/>
      <c r="C2" s="11"/>
      <c r="D2" s="11"/>
      <c r="E2" s="11"/>
      <c r="F2" s="11"/>
      <c r="G2" s="11"/>
      <c r="H2" s="11"/>
    </row>
    <row r="3" spans="1:9" s="32" customFormat="1" ht="19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34</v>
      </c>
    </row>
    <row r="4" spans="1:9" s="12" customFormat="1">
      <c r="A4" s="17" t="s">
        <v>8</v>
      </c>
    </row>
    <row r="5" spans="1:9" s="12" customFormat="1">
      <c r="A5" s="11" t="s">
        <v>9</v>
      </c>
      <c r="B5" s="13" t="s">
        <v>26</v>
      </c>
      <c r="C5" s="13" t="s">
        <v>27</v>
      </c>
      <c r="D5" s="13" t="s">
        <v>28</v>
      </c>
      <c r="E5" s="13" t="s">
        <v>29</v>
      </c>
      <c r="F5" s="13" t="s">
        <v>30</v>
      </c>
      <c r="G5" s="13" t="s">
        <v>31</v>
      </c>
      <c r="H5" s="13" t="s">
        <v>32</v>
      </c>
    </row>
    <row r="6" spans="1:9" s="12" customFormat="1">
      <c r="A6" s="11" t="s">
        <v>10</v>
      </c>
      <c r="B6" s="13" t="s">
        <v>33</v>
      </c>
      <c r="C6" s="13" t="s">
        <v>33</v>
      </c>
      <c r="D6" s="13" t="s">
        <v>33</v>
      </c>
      <c r="E6" s="13" t="s">
        <v>33</v>
      </c>
      <c r="F6" s="13" t="s">
        <v>33</v>
      </c>
      <c r="G6" s="13" t="s">
        <v>33</v>
      </c>
      <c r="H6" s="13" t="s">
        <v>33</v>
      </c>
    </row>
    <row r="7" spans="1:9" s="12" customFormat="1">
      <c r="A7" s="17" t="s">
        <v>11</v>
      </c>
      <c r="B7" s="18"/>
      <c r="C7" s="18"/>
      <c r="D7" s="18"/>
      <c r="E7" s="18"/>
      <c r="F7" s="18"/>
      <c r="G7" s="18"/>
      <c r="H7" s="18"/>
    </row>
    <row r="8" spans="1:9" s="12" customFormat="1">
      <c r="A8" s="21" t="s">
        <v>12</v>
      </c>
      <c r="B8" s="22">
        <v>573</v>
      </c>
      <c r="C8" s="22">
        <v>1470</v>
      </c>
      <c r="D8" s="22">
        <v>1250</v>
      </c>
      <c r="E8" s="22">
        <v>869</v>
      </c>
      <c r="F8" s="22">
        <v>1340</v>
      </c>
      <c r="G8" s="22">
        <v>650</v>
      </c>
      <c r="H8" s="22">
        <v>469</v>
      </c>
    </row>
    <row r="9" spans="1:9" s="12" customFormat="1">
      <c r="A9" s="21" t="s">
        <v>13</v>
      </c>
      <c r="B9" s="22">
        <v>247.53</v>
      </c>
      <c r="C9" s="22">
        <v>36.36</v>
      </c>
      <c r="D9" s="22">
        <v>43.07</v>
      </c>
      <c r="E9" s="22">
        <v>99.76</v>
      </c>
      <c r="F9" s="22">
        <v>10.69</v>
      </c>
      <c r="G9" s="22">
        <v>24.44</v>
      </c>
      <c r="H9" s="22">
        <v>34.33</v>
      </c>
    </row>
    <row r="10" spans="1:9" s="12" customFormat="1">
      <c r="A10" s="21" t="s">
        <v>14</v>
      </c>
      <c r="B10" s="28">
        <f>B8*B9</f>
        <v>141834.69</v>
      </c>
      <c r="C10" s="28">
        <f t="shared" ref="C10:H10" si="0">C8*C9</f>
        <v>53449.2</v>
      </c>
      <c r="D10" s="28">
        <f t="shared" si="0"/>
        <v>53837.5</v>
      </c>
      <c r="E10" s="28">
        <f t="shared" si="0"/>
        <v>86691.44</v>
      </c>
      <c r="F10" s="28">
        <f t="shared" si="0"/>
        <v>14324.599999999999</v>
      </c>
      <c r="G10" s="28">
        <f t="shared" si="0"/>
        <v>15886</v>
      </c>
      <c r="H10" s="28">
        <f t="shared" si="0"/>
        <v>16100.769999999999</v>
      </c>
      <c r="I10" s="14"/>
    </row>
    <row r="11" spans="1:9" s="12" customFormat="1">
      <c r="A11" s="17" t="s">
        <v>15</v>
      </c>
      <c r="B11" s="18"/>
      <c r="C11" s="18"/>
      <c r="D11" s="18"/>
      <c r="E11" s="18"/>
      <c r="F11" s="18"/>
      <c r="G11" s="18"/>
      <c r="H11" s="18"/>
    </row>
    <row r="12" spans="1:9" s="15" customFormat="1">
      <c r="A12" s="24" t="s">
        <v>37</v>
      </c>
      <c r="B12" s="25">
        <v>2523</v>
      </c>
      <c r="C12" s="25">
        <v>1003</v>
      </c>
      <c r="D12" s="25">
        <v>1385</v>
      </c>
      <c r="E12" s="25">
        <v>1481</v>
      </c>
      <c r="F12" s="25">
        <v>1699</v>
      </c>
      <c r="G12" s="25">
        <v>1848</v>
      </c>
      <c r="H12" s="25">
        <v>267</v>
      </c>
    </row>
    <row r="13" spans="1:9" s="12" customFormat="1">
      <c r="A13" s="21" t="s">
        <v>16</v>
      </c>
      <c r="B13" s="22">
        <v>3210.47</v>
      </c>
      <c r="C13" s="22">
        <v>3300</v>
      </c>
      <c r="D13" s="22">
        <v>3485</v>
      </c>
      <c r="E13" s="22">
        <v>7542</v>
      </c>
      <c r="F13" s="22">
        <v>1086</v>
      </c>
      <c r="G13" s="22">
        <v>1569</v>
      </c>
      <c r="H13" s="22">
        <v>421</v>
      </c>
      <c r="I13" s="16"/>
    </row>
    <row r="14" spans="1:9" s="12" customFormat="1">
      <c r="A14" s="21" t="s">
        <v>36</v>
      </c>
      <c r="B14" s="29">
        <f>B13-B12</f>
        <v>687.4699999999998</v>
      </c>
      <c r="C14" s="29">
        <f t="shared" ref="C14:D14" si="1">C13-C12</f>
        <v>2297</v>
      </c>
      <c r="D14" s="29">
        <f t="shared" si="1"/>
        <v>2100</v>
      </c>
      <c r="E14" s="29">
        <f>E13-E12</f>
        <v>6061</v>
      </c>
      <c r="F14" s="29">
        <f t="shared" ref="F14:H14" si="2">F13-F12</f>
        <v>-613</v>
      </c>
      <c r="G14" s="29">
        <f t="shared" si="2"/>
        <v>-279</v>
      </c>
      <c r="H14" s="29">
        <f t="shared" si="2"/>
        <v>154</v>
      </c>
      <c r="I14" s="16"/>
    </row>
    <row r="15" spans="1:9" s="12" customFormat="1">
      <c r="A15" s="21" t="s">
        <v>17</v>
      </c>
      <c r="B15" s="28">
        <f t="shared" ref="B15:H15" si="3">B10+B13-B12</f>
        <v>142522.16</v>
      </c>
      <c r="C15" s="28">
        <f t="shared" si="3"/>
        <v>55746.2</v>
      </c>
      <c r="D15" s="28">
        <f t="shared" si="3"/>
        <v>55937.5</v>
      </c>
      <c r="E15" s="28">
        <f t="shared" si="3"/>
        <v>92752.44</v>
      </c>
      <c r="F15" s="28">
        <f t="shared" si="3"/>
        <v>13711.599999999999</v>
      </c>
      <c r="G15" s="28">
        <f t="shared" si="3"/>
        <v>15607</v>
      </c>
      <c r="H15" s="28">
        <f t="shared" si="3"/>
        <v>16254.769999999997</v>
      </c>
      <c r="I15" s="14"/>
    </row>
    <row r="16" spans="1:9" s="12" customFormat="1">
      <c r="A16" s="17" t="s">
        <v>18</v>
      </c>
      <c r="B16" s="18"/>
      <c r="C16" s="18"/>
      <c r="D16" s="18"/>
      <c r="E16" s="18"/>
      <c r="F16" s="18"/>
      <c r="G16" s="18"/>
      <c r="H16" s="18"/>
    </row>
    <row r="17" spans="1:8" s="12" customFormat="1">
      <c r="A17" s="21" t="s">
        <v>19</v>
      </c>
      <c r="B17" s="22">
        <v>4481</v>
      </c>
      <c r="C17" s="22">
        <v>5286</v>
      </c>
      <c r="D17" s="22">
        <v>2873</v>
      </c>
      <c r="E17" s="22">
        <v>12677</v>
      </c>
      <c r="F17" s="22">
        <v>4067</v>
      </c>
      <c r="G17" s="22">
        <v>2117</v>
      </c>
      <c r="H17" s="22">
        <v>1229</v>
      </c>
    </row>
    <row r="18" spans="1:8" s="12" customFormat="1">
      <c r="A18" s="21" t="s">
        <v>20</v>
      </c>
      <c r="B18" s="22">
        <v>2787</v>
      </c>
      <c r="C18" s="22">
        <v>3291</v>
      </c>
      <c r="D18" s="22">
        <v>1068</v>
      </c>
      <c r="E18" s="22">
        <v>3804</v>
      </c>
      <c r="F18" s="22">
        <v>428</v>
      </c>
      <c r="G18" s="22">
        <v>702</v>
      </c>
      <c r="H18" s="22">
        <v>287</v>
      </c>
    </row>
    <row r="19" spans="1:8" s="12" customFormat="1">
      <c r="A19" s="21" t="s">
        <v>21</v>
      </c>
      <c r="B19" s="30">
        <f>B18/B17</f>
        <v>0.62195938406605666</v>
      </c>
      <c r="C19" s="30">
        <f t="shared" ref="C19:H19" si="4">C18/C17</f>
        <v>0.62258796821793416</v>
      </c>
      <c r="D19" s="30">
        <f t="shared" si="4"/>
        <v>0.37173686042464321</v>
      </c>
      <c r="E19" s="30">
        <f t="shared" si="4"/>
        <v>0.30007099471483789</v>
      </c>
      <c r="F19" s="30">
        <f t="shared" si="4"/>
        <v>0.10523727563314482</v>
      </c>
      <c r="G19" s="30">
        <f t="shared" si="4"/>
        <v>0.33160132262635805</v>
      </c>
      <c r="H19" s="30">
        <f t="shared" si="4"/>
        <v>0.23352318958502849</v>
      </c>
    </row>
    <row r="20" spans="1:8" s="12" customFormat="1">
      <c r="A20" s="24" t="s">
        <v>22</v>
      </c>
      <c r="B20" s="22">
        <v>1580</v>
      </c>
      <c r="C20" s="22">
        <v>2226</v>
      </c>
      <c r="D20" s="22">
        <v>187</v>
      </c>
      <c r="E20" s="22">
        <v>2190</v>
      </c>
      <c r="F20" s="22">
        <v>112</v>
      </c>
      <c r="G20" s="22">
        <v>455</v>
      </c>
      <c r="H20" s="22">
        <v>219</v>
      </c>
    </row>
    <row r="21" spans="1:8" s="12" customFormat="1">
      <c r="A21" s="24" t="s">
        <v>35</v>
      </c>
      <c r="B21" s="29">
        <f>B20/B9</f>
        <v>6.3830646790288048</v>
      </c>
      <c r="C21" s="29">
        <f>C20/C9</f>
        <v>61.221122112211219</v>
      </c>
      <c r="D21" s="29">
        <f>D20/D9</f>
        <v>4.3417692129092176</v>
      </c>
      <c r="E21" s="29">
        <f t="shared" ref="E21:F21" si="5">E20/E9</f>
        <v>21.952686447473937</v>
      </c>
      <c r="F21" s="29">
        <f t="shared" si="5"/>
        <v>10.47708138447147</v>
      </c>
      <c r="G21" s="29">
        <f>G20/G9</f>
        <v>18.617021276595743</v>
      </c>
      <c r="H21" s="29">
        <f>H20/H9</f>
        <v>6.3792601223419751</v>
      </c>
    </row>
    <row r="22" spans="1:8" s="12" customFormat="1">
      <c r="A22" s="17" t="s">
        <v>23</v>
      </c>
      <c r="B22" s="18"/>
      <c r="C22" s="18"/>
      <c r="D22" s="18"/>
      <c r="E22" s="18"/>
      <c r="F22" s="18"/>
      <c r="G22" s="18"/>
      <c r="H22" s="18"/>
    </row>
    <row r="23" spans="1:8" s="12" customFormat="1" ht="19">
      <c r="A23" s="21" t="s">
        <v>24</v>
      </c>
      <c r="B23" s="22">
        <v>21223</v>
      </c>
      <c r="C23" s="22">
        <v>3437</v>
      </c>
      <c r="D23" s="22">
        <v>17023</v>
      </c>
      <c r="E23" s="22">
        <v>17630</v>
      </c>
      <c r="F23" s="22">
        <v>6277</v>
      </c>
      <c r="G23" s="22">
        <v>7847</v>
      </c>
      <c r="H23" s="27" t="s">
        <v>108</v>
      </c>
    </row>
    <row r="24" spans="1:8" s="12" customFormat="1" ht="19">
      <c r="A24" s="21" t="s">
        <v>38</v>
      </c>
      <c r="B24" s="22">
        <v>11773</v>
      </c>
      <c r="C24" s="22">
        <v>2790</v>
      </c>
      <c r="D24" s="22">
        <v>12084</v>
      </c>
      <c r="E24" s="22">
        <v>14490</v>
      </c>
      <c r="F24" s="22">
        <v>6184</v>
      </c>
      <c r="G24" s="22">
        <v>7250</v>
      </c>
      <c r="H24" s="27" t="s">
        <v>108</v>
      </c>
    </row>
    <row r="25" spans="1:8" s="12" customFormat="1" ht="19">
      <c r="A25" s="21" t="s">
        <v>25</v>
      </c>
      <c r="B25" s="22">
        <v>5</v>
      </c>
      <c r="C25" s="22">
        <v>1.1499999999999999</v>
      </c>
      <c r="D25" s="22">
        <v>12.58</v>
      </c>
      <c r="E25" s="22">
        <v>14.4</v>
      </c>
      <c r="F25" s="22">
        <v>4.68</v>
      </c>
      <c r="G25" s="22">
        <v>7.05</v>
      </c>
      <c r="H25" s="27" t="s">
        <v>108</v>
      </c>
    </row>
    <row r="26" spans="1:8">
      <c r="A26" s="5"/>
      <c r="B26" s="1"/>
      <c r="C26" s="1"/>
      <c r="D26" s="1"/>
      <c r="E26" s="1"/>
      <c r="F26" s="1"/>
      <c r="G26" s="1"/>
      <c r="H26" s="1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CC20-3355-8D44-9CC1-E3E7AB182920}">
  <sheetPr>
    <tabColor rgb="FF00B0F0"/>
  </sheetPr>
  <dimension ref="A1:L27"/>
  <sheetViews>
    <sheetView showGridLines="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G26" sqref="G26"/>
    </sheetView>
  </sheetViews>
  <sheetFormatPr baseColWidth="10" defaultRowHeight="16"/>
  <cols>
    <col min="1" max="1" width="24.83203125" style="11" bestFit="1" customWidth="1"/>
    <col min="2" max="2" width="13.33203125" style="11" bestFit="1" customWidth="1"/>
    <col min="3" max="3" width="15" style="11" bestFit="1" customWidth="1"/>
    <col min="4" max="4" width="17.33203125" style="11" bestFit="1" customWidth="1"/>
    <col min="5" max="5" width="20.5" style="11" bestFit="1" customWidth="1"/>
    <col min="6" max="6" width="11.6640625" style="11" bestFit="1" customWidth="1"/>
    <col min="7" max="7" width="21" style="11" bestFit="1" customWidth="1"/>
    <col min="8" max="8" width="14.5" style="11" bestFit="1" customWidth="1"/>
    <col min="9" max="9" width="12" style="11" customWidth="1"/>
    <col min="10" max="16384" width="10.83203125" style="11"/>
  </cols>
  <sheetData>
    <row r="1" spans="1:12" ht="17" customHeight="1"/>
    <row r="2" spans="1:12" s="63" customFormat="1" ht="19">
      <c r="A2" s="38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s="64" customFormat="1" ht="19">
      <c r="A3" s="39" t="s">
        <v>8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  <c r="H3" s="40" t="s">
        <v>34</v>
      </c>
      <c r="I3" s="11"/>
      <c r="J3" s="11"/>
      <c r="K3" s="11"/>
      <c r="L3" s="11"/>
    </row>
    <row r="4" spans="1:12">
      <c r="A4" s="34" t="s">
        <v>39</v>
      </c>
      <c r="B4" s="33"/>
      <c r="C4" s="33"/>
      <c r="D4" s="33"/>
      <c r="E4" s="33"/>
      <c r="F4" s="33"/>
      <c r="G4" s="33"/>
      <c r="H4" s="33"/>
    </row>
    <row r="5" spans="1:12">
      <c r="A5" s="33" t="s">
        <v>12</v>
      </c>
      <c r="B5" s="35">
        <f>Input!B8</f>
        <v>573</v>
      </c>
      <c r="C5" s="35">
        <f>Input!C8</f>
        <v>1470</v>
      </c>
      <c r="D5" s="35">
        <f>Input!D8</f>
        <v>1250</v>
      </c>
      <c r="E5" s="35">
        <f>Input!E8</f>
        <v>869</v>
      </c>
      <c r="F5" s="35">
        <f>Input!F8</f>
        <v>1340</v>
      </c>
      <c r="G5" s="35">
        <f>Input!G8</f>
        <v>650</v>
      </c>
      <c r="H5" s="35">
        <f>Input!H8</f>
        <v>469</v>
      </c>
    </row>
    <row r="6" spans="1:12">
      <c r="A6" s="33" t="s">
        <v>13</v>
      </c>
      <c r="B6" s="35">
        <f>Input!B9</f>
        <v>247.53</v>
      </c>
      <c r="C6" s="35">
        <f>Input!C9</f>
        <v>36.36</v>
      </c>
      <c r="D6" s="35">
        <f>Input!D9</f>
        <v>43.07</v>
      </c>
      <c r="E6" s="35">
        <f>Input!E9</f>
        <v>99.76</v>
      </c>
      <c r="F6" s="35">
        <f>Input!F9</f>
        <v>10.69</v>
      </c>
      <c r="G6" s="35">
        <f>Input!G9</f>
        <v>24.44</v>
      </c>
      <c r="H6" s="35">
        <f>Input!H9</f>
        <v>34.33</v>
      </c>
    </row>
    <row r="7" spans="1:12">
      <c r="A7" s="33" t="s">
        <v>14</v>
      </c>
      <c r="B7" s="35">
        <f>Input!B10</f>
        <v>141834.69</v>
      </c>
      <c r="C7" s="35">
        <f>Input!C10</f>
        <v>53449.2</v>
      </c>
      <c r="D7" s="35">
        <f>Input!D10</f>
        <v>53837.5</v>
      </c>
      <c r="E7" s="35">
        <f>Input!E10</f>
        <v>86691.44</v>
      </c>
      <c r="F7" s="35">
        <f>Input!F10</f>
        <v>14324.599999999999</v>
      </c>
      <c r="G7" s="35">
        <f>Input!G10</f>
        <v>15886</v>
      </c>
      <c r="H7" s="35">
        <f>Input!H10</f>
        <v>16100.769999999999</v>
      </c>
    </row>
    <row r="8" spans="1:12">
      <c r="A8" s="34" t="s">
        <v>15</v>
      </c>
      <c r="B8" s="33"/>
      <c r="C8" s="33"/>
      <c r="D8" s="33"/>
      <c r="E8" s="33"/>
      <c r="F8" s="33"/>
      <c r="G8" s="33"/>
      <c r="H8" s="33"/>
    </row>
    <row r="9" spans="1:12">
      <c r="A9" s="34" t="s">
        <v>37</v>
      </c>
      <c r="B9" s="35">
        <f>Input!B12</f>
        <v>2523</v>
      </c>
      <c r="C9" s="35">
        <f>Input!C12</f>
        <v>1003</v>
      </c>
      <c r="D9" s="35">
        <f>Input!D12</f>
        <v>1385</v>
      </c>
      <c r="E9" s="35">
        <f>Input!E12</f>
        <v>1481</v>
      </c>
      <c r="F9" s="35">
        <f>Input!F12</f>
        <v>1699</v>
      </c>
      <c r="G9" s="35">
        <f>Input!G12</f>
        <v>1848</v>
      </c>
      <c r="H9" s="35">
        <f>Input!H12</f>
        <v>267</v>
      </c>
    </row>
    <row r="10" spans="1:12">
      <c r="A10" s="33" t="s">
        <v>16</v>
      </c>
      <c r="B10" s="35">
        <f>Input!B13</f>
        <v>3210.47</v>
      </c>
      <c r="C10" s="35">
        <f>Input!C13</f>
        <v>3300</v>
      </c>
      <c r="D10" s="35">
        <f>Input!D13</f>
        <v>3485</v>
      </c>
      <c r="E10" s="35">
        <f>Input!E13</f>
        <v>7542</v>
      </c>
      <c r="F10" s="35">
        <f>Input!F13</f>
        <v>1086</v>
      </c>
      <c r="G10" s="35">
        <f>Input!G13</f>
        <v>1569</v>
      </c>
      <c r="H10" s="35">
        <f>Input!H13</f>
        <v>421</v>
      </c>
    </row>
    <row r="11" spans="1:12">
      <c r="A11" s="33" t="s">
        <v>36</v>
      </c>
      <c r="B11" s="35">
        <f>Input!B14</f>
        <v>687.4699999999998</v>
      </c>
      <c r="C11" s="35">
        <f>Input!C14</f>
        <v>2297</v>
      </c>
      <c r="D11" s="35">
        <f>Input!D14</f>
        <v>2100</v>
      </c>
      <c r="E11" s="35">
        <f>Input!E14</f>
        <v>6061</v>
      </c>
      <c r="F11" s="35">
        <f>Input!F14</f>
        <v>-613</v>
      </c>
      <c r="G11" s="35">
        <f>Input!G14</f>
        <v>-279</v>
      </c>
      <c r="H11" s="35">
        <f>Input!H14</f>
        <v>154</v>
      </c>
    </row>
    <row r="12" spans="1:12">
      <c r="A12" s="33" t="s">
        <v>17</v>
      </c>
      <c r="B12" s="35">
        <f>Input!B15</f>
        <v>142522.16</v>
      </c>
      <c r="C12" s="35">
        <f>Input!C15</f>
        <v>55746.2</v>
      </c>
      <c r="D12" s="35">
        <f>Input!D15</f>
        <v>55937.5</v>
      </c>
      <c r="E12" s="35">
        <f>Input!E15</f>
        <v>92752.44</v>
      </c>
      <c r="F12" s="35">
        <f>Input!F15</f>
        <v>13711.599999999999</v>
      </c>
      <c r="G12" s="35">
        <f>Input!G15</f>
        <v>15607</v>
      </c>
      <c r="H12" s="35">
        <f>Input!H15</f>
        <v>16254.769999999997</v>
      </c>
    </row>
    <row r="13" spans="1:12">
      <c r="A13" s="34" t="s">
        <v>18</v>
      </c>
      <c r="B13" s="33"/>
      <c r="C13" s="33"/>
      <c r="D13" s="33"/>
      <c r="E13" s="33"/>
      <c r="F13" s="33"/>
      <c r="G13" s="33"/>
      <c r="H13" s="33"/>
    </row>
    <row r="14" spans="1:12">
      <c r="A14" s="33" t="s">
        <v>19</v>
      </c>
      <c r="B14" s="35">
        <f>Input!B17</f>
        <v>4481</v>
      </c>
      <c r="C14" s="35">
        <f>Input!C17</f>
        <v>5286</v>
      </c>
      <c r="D14" s="35">
        <f>Input!D17</f>
        <v>2873</v>
      </c>
      <c r="E14" s="35">
        <f>Input!E17</f>
        <v>12677</v>
      </c>
      <c r="F14" s="35">
        <f>Input!F17</f>
        <v>4067</v>
      </c>
      <c r="G14" s="35">
        <f>Input!G17</f>
        <v>2117</v>
      </c>
      <c r="H14" s="35">
        <f>Input!H17</f>
        <v>1229</v>
      </c>
    </row>
    <row r="15" spans="1:12">
      <c r="A15" s="33" t="s">
        <v>20</v>
      </c>
      <c r="B15" s="35">
        <f>Input!B18</f>
        <v>2787</v>
      </c>
      <c r="C15" s="35">
        <f>Input!C18</f>
        <v>3291</v>
      </c>
      <c r="D15" s="35">
        <f>Input!D18</f>
        <v>1068</v>
      </c>
      <c r="E15" s="35">
        <f>Input!E18</f>
        <v>3804</v>
      </c>
      <c r="F15" s="35">
        <f>Input!F18</f>
        <v>428</v>
      </c>
      <c r="G15" s="35">
        <f>Input!G18</f>
        <v>702</v>
      </c>
      <c r="H15" s="35">
        <f>Input!H18</f>
        <v>287</v>
      </c>
    </row>
    <row r="16" spans="1:12">
      <c r="A16" s="33" t="s">
        <v>21</v>
      </c>
      <c r="B16" s="36">
        <f>Input!B19</f>
        <v>0.62195938406605666</v>
      </c>
      <c r="C16" s="36">
        <f>Input!C19</f>
        <v>0.62258796821793416</v>
      </c>
      <c r="D16" s="36">
        <f>Input!D19</f>
        <v>0.37173686042464321</v>
      </c>
      <c r="E16" s="36">
        <f>Input!E19</f>
        <v>0.30007099471483789</v>
      </c>
      <c r="F16" s="36">
        <f>Input!F19</f>
        <v>0.10523727563314482</v>
      </c>
      <c r="G16" s="36">
        <f>Input!G19</f>
        <v>0.33160132262635805</v>
      </c>
      <c r="H16" s="36">
        <f>Input!H19</f>
        <v>0.23352318958502849</v>
      </c>
    </row>
    <row r="17" spans="1:11">
      <c r="A17" s="34" t="s">
        <v>22</v>
      </c>
      <c r="B17" s="35">
        <f>Input!B20</f>
        <v>1580</v>
      </c>
      <c r="C17" s="35">
        <f>Input!C20</f>
        <v>2226</v>
      </c>
      <c r="D17" s="35">
        <f>Input!D20</f>
        <v>187</v>
      </c>
      <c r="E17" s="35">
        <f>Input!E20</f>
        <v>2190</v>
      </c>
      <c r="F17" s="35">
        <f>Input!F20</f>
        <v>112</v>
      </c>
      <c r="G17" s="35">
        <f>Input!G20</f>
        <v>455</v>
      </c>
      <c r="H17" s="35">
        <f>Input!H20</f>
        <v>219</v>
      </c>
    </row>
    <row r="18" spans="1:11">
      <c r="A18" s="34" t="s">
        <v>35</v>
      </c>
      <c r="B18" s="35">
        <f>Input!B21</f>
        <v>6.3830646790288048</v>
      </c>
      <c r="C18" s="35">
        <f>Input!C21</f>
        <v>61.221122112211219</v>
      </c>
      <c r="D18" s="35">
        <f>Input!D21</f>
        <v>4.3417692129092176</v>
      </c>
      <c r="E18" s="35">
        <f>Input!E21</f>
        <v>21.952686447473937</v>
      </c>
      <c r="F18" s="35">
        <f>Input!F21</f>
        <v>10.47708138447147</v>
      </c>
      <c r="G18" s="35">
        <f>Input!G21</f>
        <v>18.617021276595743</v>
      </c>
      <c r="H18" s="35">
        <f>Input!H21</f>
        <v>6.3792601223419751</v>
      </c>
    </row>
    <row r="19" spans="1:11">
      <c r="A19" s="34" t="s">
        <v>23</v>
      </c>
      <c r="B19" s="33"/>
      <c r="C19" s="33"/>
      <c r="D19" s="33"/>
      <c r="E19" s="33"/>
      <c r="F19" s="33"/>
      <c r="G19" s="33"/>
      <c r="H19" s="33"/>
    </row>
    <row r="20" spans="1:11">
      <c r="A20" s="33" t="s">
        <v>24</v>
      </c>
      <c r="B20" s="35">
        <f>Input!B23</f>
        <v>21223</v>
      </c>
      <c r="C20" s="35">
        <f>Input!C23</f>
        <v>3437</v>
      </c>
      <c r="D20" s="35">
        <f>Input!D23</f>
        <v>17023</v>
      </c>
      <c r="E20" s="35">
        <f>Input!E23</f>
        <v>17630</v>
      </c>
      <c r="F20" s="35">
        <f>Input!F23</f>
        <v>6277</v>
      </c>
      <c r="G20" s="35">
        <f>Input!G23</f>
        <v>7847</v>
      </c>
      <c r="H20" s="35" t="str">
        <f>Input!H23</f>
        <v>N/A</v>
      </c>
    </row>
    <row r="21" spans="1:11">
      <c r="A21" s="33" t="s">
        <v>38</v>
      </c>
      <c r="B21" s="35">
        <f>Input!B24</f>
        <v>11773</v>
      </c>
      <c r="C21" s="35">
        <f>Input!C24</f>
        <v>2790</v>
      </c>
      <c r="D21" s="35">
        <f>Input!D24</f>
        <v>12084</v>
      </c>
      <c r="E21" s="35">
        <f>Input!E24</f>
        <v>14490</v>
      </c>
      <c r="F21" s="35">
        <f>Input!F24</f>
        <v>6184</v>
      </c>
      <c r="G21" s="35">
        <f>Input!G24</f>
        <v>7250</v>
      </c>
      <c r="H21" s="35" t="str">
        <f>Input!H24</f>
        <v>N/A</v>
      </c>
    </row>
    <row r="22" spans="1:11">
      <c r="A22" s="33" t="s">
        <v>25</v>
      </c>
      <c r="B22" s="35">
        <f>Input!B25</f>
        <v>5</v>
      </c>
      <c r="C22" s="35">
        <f>Input!C25</f>
        <v>1.1499999999999999</v>
      </c>
      <c r="D22" s="35">
        <f>Input!D25</f>
        <v>12.58</v>
      </c>
      <c r="E22" s="35">
        <f>Input!E25</f>
        <v>14.4</v>
      </c>
      <c r="F22" s="35">
        <f>Input!F25</f>
        <v>4.68</v>
      </c>
      <c r="G22" s="35">
        <f>Input!G25</f>
        <v>7.05</v>
      </c>
      <c r="H22" s="35" t="str">
        <f>Input!H25</f>
        <v>N/A</v>
      </c>
    </row>
    <row r="23" spans="1:11">
      <c r="A23" s="41" t="s">
        <v>40</v>
      </c>
      <c r="B23" s="33"/>
      <c r="C23" s="33"/>
      <c r="D23" s="33"/>
      <c r="E23" s="33"/>
      <c r="F23" s="33"/>
      <c r="G23" s="33"/>
      <c r="H23" s="33"/>
      <c r="J23" s="42" t="s">
        <v>45</v>
      </c>
      <c r="K23" s="42" t="s">
        <v>46</v>
      </c>
    </row>
    <row r="24" spans="1:11">
      <c r="A24" s="43" t="s">
        <v>41</v>
      </c>
      <c r="B24" s="37">
        <f>B12/B14</f>
        <v>31.805882615487615</v>
      </c>
      <c r="C24" s="37">
        <f t="shared" ref="C24:H24" si="0">C12/C14</f>
        <v>10.546008323874384</v>
      </c>
      <c r="D24" s="37">
        <f t="shared" si="0"/>
        <v>19.47006613296206</v>
      </c>
      <c r="E24" s="37">
        <f t="shared" si="0"/>
        <v>7.316592253687781</v>
      </c>
      <c r="F24" s="37">
        <f t="shared" si="0"/>
        <v>3.371428571428571</v>
      </c>
      <c r="G24" s="37">
        <f t="shared" si="0"/>
        <v>7.3722248464808695</v>
      </c>
      <c r="H24" s="37">
        <f t="shared" si="0"/>
        <v>13.226013018714399</v>
      </c>
      <c r="J24" s="13">
        <f>AVERAGE(B24:H24)</f>
        <v>13.301173680376525</v>
      </c>
      <c r="K24" s="13">
        <f>MEDIAN(B24:H24)</f>
        <v>10.546008323874384</v>
      </c>
    </row>
    <row r="25" spans="1:11">
      <c r="A25" s="43" t="s">
        <v>42</v>
      </c>
      <c r="B25" s="37">
        <f>B12/B15</f>
        <v>51.138198780050232</v>
      </c>
      <c r="C25" s="37">
        <f t="shared" ref="C25:H25" si="1">C12/C15</f>
        <v>16.938985110908536</v>
      </c>
      <c r="D25" s="37">
        <f t="shared" si="1"/>
        <v>52.375936329588015</v>
      </c>
      <c r="E25" s="37">
        <f t="shared" si="1"/>
        <v>24.382870662460569</v>
      </c>
      <c r="F25" s="37">
        <f t="shared" si="1"/>
        <v>32.036448598130839</v>
      </c>
      <c r="G25" s="37">
        <f t="shared" si="1"/>
        <v>22.232193732193732</v>
      </c>
      <c r="H25" s="37">
        <f t="shared" si="1"/>
        <v>56.636829268292672</v>
      </c>
      <c r="J25" s="13">
        <f t="shared" ref="J25:J27" si="2">AVERAGE(B25:H25)</f>
        <v>36.53449464023209</v>
      </c>
      <c r="K25" s="13">
        <f t="shared" ref="K25:K27" si="3">MEDIAN(B25:H25)</f>
        <v>32.036448598130839</v>
      </c>
    </row>
    <row r="26" spans="1:11">
      <c r="A26" s="43" t="s">
        <v>43</v>
      </c>
      <c r="B26" s="37">
        <f>B7/B17</f>
        <v>89.768791139240506</v>
      </c>
      <c r="C26" s="37">
        <f t="shared" ref="C26:H27" si="4">C7/C17</f>
        <v>24.01132075471698</v>
      </c>
      <c r="D26" s="37">
        <f t="shared" si="4"/>
        <v>287.90106951871655</v>
      </c>
      <c r="E26" s="37">
        <f t="shared" si="4"/>
        <v>39.585132420091327</v>
      </c>
      <c r="F26" s="37">
        <f t="shared" si="4"/>
        <v>127.89821428571427</v>
      </c>
      <c r="G26" s="37">
        <f t="shared" si="4"/>
        <v>34.914285714285711</v>
      </c>
      <c r="H26" s="37">
        <f t="shared" si="4"/>
        <v>73.519497716894975</v>
      </c>
      <c r="J26" s="13">
        <f t="shared" si="2"/>
        <v>96.799758792808618</v>
      </c>
      <c r="K26" s="13">
        <f t="shared" si="3"/>
        <v>73.519497716894975</v>
      </c>
    </row>
    <row r="27" spans="1:11">
      <c r="A27" s="43" t="s">
        <v>44</v>
      </c>
      <c r="B27" s="37">
        <f>B7/B20</f>
        <v>6.6830650709136314</v>
      </c>
      <c r="C27" s="37">
        <f t="shared" ref="C27:G27" si="5">C7/C20</f>
        <v>15.55112016293279</v>
      </c>
      <c r="D27" s="37">
        <f t="shared" si="5"/>
        <v>3.1626329084180225</v>
      </c>
      <c r="E27" s="37">
        <f t="shared" si="5"/>
        <v>4.9172682926829268</v>
      </c>
      <c r="F27" s="37">
        <f t="shared" si="5"/>
        <v>2.282077425521746</v>
      </c>
      <c r="G27" s="37">
        <f t="shared" si="5"/>
        <v>2.0244679495348539</v>
      </c>
      <c r="H27" s="49" t="str">
        <f>Input!H23</f>
        <v>N/A</v>
      </c>
      <c r="J27" s="13">
        <f t="shared" si="2"/>
        <v>5.7701053016673285</v>
      </c>
      <c r="K27" s="13">
        <f t="shared" si="3"/>
        <v>4.0399506005504744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5AF4-8D4D-AC49-82D2-1B84E7ED1D4B}">
  <sheetPr>
    <tabColor theme="9" tint="0.59999389629810485"/>
  </sheetPr>
  <dimension ref="A2:J19"/>
  <sheetViews>
    <sheetView showGridLines="0" zoomScale="108" workbookViewId="0">
      <pane xSplit="1" topLeftCell="F1" activePane="topRight" state="frozen"/>
      <selection pane="topRight" activeCell="H16" sqref="H16"/>
    </sheetView>
  </sheetViews>
  <sheetFormatPr baseColWidth="10" defaultRowHeight="16"/>
  <cols>
    <col min="1" max="1" width="33.1640625" style="46" bestFit="1" customWidth="1"/>
    <col min="2" max="2" width="18" style="46" customWidth="1"/>
    <col min="3" max="3" width="13" style="46" bestFit="1" customWidth="1"/>
    <col min="4" max="4" width="20.1640625" style="46" bestFit="1" customWidth="1"/>
    <col min="5" max="5" width="13" style="46" bestFit="1" customWidth="1"/>
    <col min="6" max="6" width="20.83203125" style="46" bestFit="1" customWidth="1"/>
    <col min="7" max="7" width="11.83203125" style="46" bestFit="1" customWidth="1"/>
    <col min="8" max="8" width="19.5" style="46" bestFit="1" customWidth="1"/>
    <col min="9" max="9" width="14.33203125" style="46" bestFit="1" customWidth="1"/>
    <col min="10" max="10" width="21" style="46" bestFit="1" customWidth="1"/>
    <col min="11" max="16384" width="10.83203125" style="46"/>
  </cols>
  <sheetData>
    <row r="2" spans="1:10" ht="19">
      <c r="A2" s="50" t="s">
        <v>48</v>
      </c>
    </row>
    <row r="3" spans="1:10">
      <c r="A3" s="15" t="s">
        <v>49</v>
      </c>
      <c r="B3" s="51" t="s">
        <v>50</v>
      </c>
      <c r="C3" s="51" t="s">
        <v>51</v>
      </c>
      <c r="D3" s="51" t="s">
        <v>45</v>
      </c>
      <c r="E3" s="51" t="s">
        <v>46</v>
      </c>
      <c r="F3" s="52" t="s">
        <v>52</v>
      </c>
    </row>
    <row r="4" spans="1:10">
      <c r="A4" s="59" t="str">
        <f>'EV &amp; Multiples Calculation'!A24</f>
        <v>EV / Revenue</v>
      </c>
      <c r="B4" s="44">
        <f>MIN('EV &amp; Multiples Calculation'!B24:H24)</f>
        <v>3.371428571428571</v>
      </c>
      <c r="C4" s="44">
        <f>MAX('EV &amp; Multiples Calculation'!B24:H24)</f>
        <v>31.805882615487615</v>
      </c>
      <c r="D4" s="44">
        <f>'EV &amp; Multiples Calculation'!J24</f>
        <v>13.301173680376525</v>
      </c>
      <c r="E4" s="44">
        <f>'EV &amp; Multiples Calculation'!K24</f>
        <v>10.546008323874384</v>
      </c>
      <c r="F4" s="60">
        <f>TRIMMEAN('EV &amp; Multiples Calculation'!B24:H24, 0.2)</f>
        <v>13.301173680376525</v>
      </c>
    </row>
    <row r="5" spans="1:10">
      <c r="A5" s="59" t="str">
        <f>'EV &amp; Multiples Calculation'!A25</f>
        <v>EV / EBITDA</v>
      </c>
      <c r="B5" s="44">
        <f>MIN('EV &amp; Multiples Calculation'!B25:H25)</f>
        <v>16.938985110908536</v>
      </c>
      <c r="C5" s="44">
        <f>MAX('EV &amp; Multiples Calculation'!B25:H25)</f>
        <v>56.636829268292672</v>
      </c>
      <c r="D5" s="44">
        <f>'EV &amp; Multiples Calculation'!J25</f>
        <v>36.53449464023209</v>
      </c>
      <c r="E5" s="44">
        <f>'EV &amp; Multiples Calculation'!K25</f>
        <v>32.036448598130839</v>
      </c>
      <c r="F5" s="60">
        <f>TRIMMEAN('EV &amp; Multiples Calculation'!B25:H25, 0.2)</f>
        <v>36.53449464023209</v>
      </c>
    </row>
    <row r="6" spans="1:10">
      <c r="A6" s="59" t="str">
        <f>'EV &amp; Multiples Calculation'!A26</f>
        <v>P / E</v>
      </c>
      <c r="B6" s="44">
        <f>MIN('EV &amp; Multiples Calculation'!B26:H26)</f>
        <v>24.01132075471698</v>
      </c>
      <c r="C6" s="44">
        <f>MAX('EV &amp; Multiples Calculation'!B26:H26)</f>
        <v>287.90106951871655</v>
      </c>
      <c r="D6" s="44">
        <f>'EV &amp; Multiples Calculation'!J26</f>
        <v>96.799758792808618</v>
      </c>
      <c r="E6" s="44">
        <f>'EV &amp; Multiples Calculation'!K26</f>
        <v>73.519497716894975</v>
      </c>
      <c r="F6" s="60">
        <f>TRIMMEAN('EV &amp; Multiples Calculation'!B26:H26, 0.2)</f>
        <v>96.799758792808618</v>
      </c>
    </row>
    <row r="7" spans="1:10">
      <c r="A7" s="59" t="str">
        <f>'EV &amp; Multiples Calculation'!A27</f>
        <v>P / Pre-sales</v>
      </c>
      <c r="B7" s="44">
        <f>MIN('EV &amp; Multiples Calculation'!B27:H27)</f>
        <v>2.0244679495348539</v>
      </c>
      <c r="C7" s="44">
        <f>MAX('EV &amp; Multiples Calculation'!B27:H27)</f>
        <v>15.55112016293279</v>
      </c>
      <c r="D7" s="44">
        <f>'EV &amp; Multiples Calculation'!J27</f>
        <v>5.7701053016673285</v>
      </c>
      <c r="E7" s="44">
        <f>'EV &amp; Multiples Calculation'!K27</f>
        <v>4.0399506005504744</v>
      </c>
      <c r="F7" s="60">
        <f>TRIMMEAN('EV &amp; Multiples Calculation'!B27:H27, 0.2)</f>
        <v>5.7701053016673285</v>
      </c>
    </row>
    <row r="10" spans="1:10" ht="19">
      <c r="A10" s="54" t="s">
        <v>53</v>
      </c>
      <c r="B10" s="55" t="s">
        <v>128</v>
      </c>
      <c r="C10" s="56"/>
      <c r="D10" s="56"/>
      <c r="E10" s="56"/>
    </row>
    <row r="11" spans="1:10" ht="19">
      <c r="B11" s="55" t="s">
        <v>55</v>
      </c>
      <c r="C11" s="56"/>
      <c r="D11" s="56"/>
      <c r="E11" s="56"/>
    </row>
    <row r="12" spans="1:10">
      <c r="B12" s="56" t="s">
        <v>56</v>
      </c>
      <c r="C12" s="56"/>
      <c r="D12" s="56"/>
      <c r="E12" s="56"/>
    </row>
    <row r="14" spans="1:10">
      <c r="A14" s="3" t="s">
        <v>54</v>
      </c>
    </row>
    <row r="15" spans="1:10">
      <c r="A15" s="15" t="s">
        <v>57</v>
      </c>
      <c r="B15" s="51" t="s">
        <v>52</v>
      </c>
      <c r="C15" s="51" t="s">
        <v>58</v>
      </c>
      <c r="D15" s="51" t="s">
        <v>59</v>
      </c>
      <c r="E15" s="51" t="s">
        <v>60</v>
      </c>
      <c r="F15" s="51" t="s">
        <v>61</v>
      </c>
      <c r="G15" s="51" t="s">
        <v>62</v>
      </c>
      <c r="H15" s="51" t="s">
        <v>63</v>
      </c>
      <c r="I15" s="51" t="s">
        <v>64</v>
      </c>
      <c r="J15" s="51" t="s">
        <v>65</v>
      </c>
    </row>
    <row r="16" spans="1:10">
      <c r="A16" s="46" t="s">
        <v>66</v>
      </c>
      <c r="B16" s="46">
        <f>F4</f>
        <v>13.301173680376525</v>
      </c>
      <c r="C16" s="35">
        <f>'EV &amp; Multiples Calculation'!B14</f>
        <v>4481</v>
      </c>
      <c r="D16" s="46">
        <f>B16*C16</f>
        <v>59602.559261767208</v>
      </c>
      <c r="E16" s="35">
        <f>'EV &amp; Multiples Calculation'!B11</f>
        <v>687.4699999999998</v>
      </c>
      <c r="F16" s="48">
        <f>D16-E16</f>
        <v>58915.089261767207</v>
      </c>
      <c r="G16" s="35">
        <f>'EV &amp; Multiples Calculation'!B6</f>
        <v>247.53</v>
      </c>
      <c r="H16" s="53">
        <f>F16/G16</f>
        <v>238.01191476494651</v>
      </c>
      <c r="I16" s="44">
        <f>Input!B8</f>
        <v>573</v>
      </c>
      <c r="J16" s="57">
        <f>(H16-I16)/I16</f>
        <v>-0.58462144020079143</v>
      </c>
    </row>
    <row r="17" spans="1:10">
      <c r="A17" s="47" t="str">
        <f>A5</f>
        <v>EV / EBITDA</v>
      </c>
      <c r="B17" s="46">
        <f t="shared" ref="B17:B19" si="0">F5</f>
        <v>36.53449464023209</v>
      </c>
      <c r="C17" s="35">
        <f>'EV &amp; Multiples Calculation'!B15</f>
        <v>2787</v>
      </c>
      <c r="D17" s="46">
        <f>B17*C17</f>
        <v>101821.63656232684</v>
      </c>
      <c r="E17" s="48">
        <f>E16</f>
        <v>687.4699999999998</v>
      </c>
      <c r="F17" s="48">
        <f>D17-E17</f>
        <v>101134.16656232683</v>
      </c>
      <c r="G17" s="44">
        <f>G16</f>
        <v>247.53</v>
      </c>
      <c r="H17" s="53">
        <f>F17/G17</f>
        <v>408.57337115633192</v>
      </c>
      <c r="I17" s="44">
        <f>I16</f>
        <v>573</v>
      </c>
      <c r="J17" s="57">
        <f>(H17-I17)/I17</f>
        <v>-0.28695746744095652</v>
      </c>
    </row>
    <row r="18" spans="1:10">
      <c r="A18" s="47" t="str">
        <f t="shared" ref="A18:A19" si="1">A6</f>
        <v>P / E</v>
      </c>
      <c r="B18" s="46">
        <f t="shared" si="0"/>
        <v>96.799758792808618</v>
      </c>
      <c r="C18" s="35">
        <f>'EV &amp; Multiples Calculation'!B17</f>
        <v>1580</v>
      </c>
      <c r="D18" s="46">
        <f>B18*C18</f>
        <v>152943.61889263761</v>
      </c>
      <c r="E18" s="62" t="s">
        <v>67</v>
      </c>
      <c r="F18" s="46">
        <f>D18</f>
        <v>152943.61889263761</v>
      </c>
      <c r="G18" s="44">
        <f>G17</f>
        <v>247.53</v>
      </c>
      <c r="H18" s="53">
        <f>F18/G18</f>
        <v>617.87912128888456</v>
      </c>
      <c r="I18" s="44">
        <f>I17</f>
        <v>573</v>
      </c>
      <c r="J18" s="58">
        <f>(H18-I18)/I18</f>
        <v>7.8323073802590862E-2</v>
      </c>
    </row>
    <row r="19" spans="1:10">
      <c r="A19" s="47" t="str">
        <f t="shared" si="1"/>
        <v>P / Pre-sales</v>
      </c>
      <c r="B19" s="46">
        <f t="shared" si="0"/>
        <v>5.7701053016673285</v>
      </c>
      <c r="C19" s="35">
        <f>'EV &amp; Multiples Calculation'!B20</f>
        <v>21223</v>
      </c>
      <c r="D19" s="46">
        <f>B19*C19</f>
        <v>122458.94481728571</v>
      </c>
      <c r="E19" s="61" t="s">
        <v>67</v>
      </c>
      <c r="F19" s="46">
        <f>D19</f>
        <v>122458.94481728571</v>
      </c>
      <c r="G19" s="44">
        <f>G18</f>
        <v>247.53</v>
      </c>
      <c r="H19" s="53">
        <f>F19/G19</f>
        <v>494.72364892047716</v>
      </c>
      <c r="I19" s="44">
        <f>I18</f>
        <v>573</v>
      </c>
      <c r="J19" s="57">
        <f>(H19-I19)/I19</f>
        <v>-0.13660794254716027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690C-31D0-2F41-B29F-ADE5181B38D1}">
  <sheetPr>
    <tabColor theme="9" tint="-0.249977111117893"/>
  </sheetPr>
  <dimension ref="A1:U50"/>
  <sheetViews>
    <sheetView showGridLines="0" topLeftCell="A13" zoomScale="75" zoomScaleNormal="164" workbookViewId="0">
      <selection activeCell="D31" sqref="D31"/>
    </sheetView>
  </sheetViews>
  <sheetFormatPr baseColWidth="10" defaultColWidth="14.83203125" defaultRowHeight="16"/>
  <cols>
    <col min="1" max="1" width="40.33203125" style="12" bestFit="1" customWidth="1"/>
    <col min="2" max="2" width="17.6640625" style="12" bestFit="1" customWidth="1"/>
    <col min="3" max="3" width="14.83203125" style="12"/>
    <col min="4" max="4" width="17.6640625" style="12" bestFit="1" customWidth="1"/>
    <col min="5" max="5" width="24.33203125" style="12" bestFit="1" customWidth="1"/>
    <col min="6" max="6" width="15.33203125" style="12" bestFit="1" customWidth="1"/>
    <col min="7" max="7" width="14.6640625" style="12" bestFit="1" customWidth="1"/>
    <col min="8" max="8" width="8.6640625" style="12" bestFit="1" customWidth="1"/>
    <col min="9" max="16384" width="14.83203125" style="12"/>
  </cols>
  <sheetData>
    <row r="1" spans="1:5">
      <c r="A1" s="3" t="s">
        <v>69</v>
      </c>
    </row>
    <row r="2" spans="1:5">
      <c r="A2" s="3" t="s">
        <v>70</v>
      </c>
    </row>
    <row r="3" spans="1:5">
      <c r="A3" s="3" t="s">
        <v>71</v>
      </c>
    </row>
    <row r="4" spans="1:5">
      <c r="A4" s="3" t="s">
        <v>72</v>
      </c>
    </row>
    <row r="6" spans="1:5">
      <c r="A6" s="51" t="s">
        <v>115</v>
      </c>
      <c r="B6" s="51" t="s">
        <v>75</v>
      </c>
      <c r="C6" s="51" t="s">
        <v>116</v>
      </c>
      <c r="D6" s="51" t="s">
        <v>74</v>
      </c>
      <c r="E6" s="51" t="s">
        <v>73</v>
      </c>
    </row>
    <row r="7" spans="1:5">
      <c r="A7" s="10" t="str">
        <f>'EV &amp; Multiples Calculation'!C3</f>
        <v xml:space="preserve">Oberoi Realty </v>
      </c>
      <c r="B7" s="49">
        <f>'EV &amp; Multiples Calculation'!C24</f>
        <v>10.546008323874384</v>
      </c>
      <c r="C7" s="49">
        <f>'EV &amp; Multiples Calculation'!C25</f>
        <v>16.938985110908536</v>
      </c>
      <c r="D7" s="49">
        <f>'EV &amp; Multiples Calculation'!C26</f>
        <v>24.01132075471698</v>
      </c>
      <c r="E7" s="49">
        <f>'EV &amp; Multiples Calculation'!C27</f>
        <v>15.55112016293279</v>
      </c>
    </row>
    <row r="8" spans="1:5">
      <c r="A8" s="10" t="str">
        <f>'EV &amp; Multiples Calculation'!D3</f>
        <v xml:space="preserve">Prestige Estates </v>
      </c>
      <c r="B8" s="49">
        <f>'EV &amp; Multiples Calculation'!D24</f>
        <v>19.47006613296206</v>
      </c>
      <c r="C8" s="49">
        <f>'EV &amp; Multiples Calculation'!D25</f>
        <v>52.375936329588015</v>
      </c>
      <c r="D8" s="49">
        <f>'EV &amp; Multiples Calculation'!D26</f>
        <v>287.90106951871655</v>
      </c>
      <c r="E8" s="49">
        <f>'EV &amp; Multiples Calculation'!D27</f>
        <v>3.1626329084180225</v>
      </c>
    </row>
    <row r="9" spans="1:5">
      <c r="A9" s="10" t="str">
        <f>'EV &amp; Multiples Calculation'!E3</f>
        <v xml:space="preserve">Macrotech (Lodha) </v>
      </c>
      <c r="B9" s="49">
        <f>'EV &amp; Multiples Calculation'!E24</f>
        <v>7.316592253687781</v>
      </c>
      <c r="C9" s="49">
        <f>'EV &amp; Multiples Calculation'!E25</f>
        <v>24.382870662460569</v>
      </c>
      <c r="D9" s="49">
        <f>'EV &amp; Multiples Calculation'!E26</f>
        <v>39.585132420091327</v>
      </c>
      <c r="E9" s="49">
        <f>'EV &amp; Multiples Calculation'!E27</f>
        <v>4.9172682926829268</v>
      </c>
    </row>
    <row r="10" spans="1:5">
      <c r="A10" s="10" t="str">
        <f>'EV &amp; Multiples Calculation'!F3</f>
        <v xml:space="preserve">Sobha Ltd </v>
      </c>
      <c r="B10" s="49">
        <f>'EV &amp; Multiples Calculation'!F24</f>
        <v>3.371428571428571</v>
      </c>
      <c r="C10" s="49">
        <f>'EV &amp; Multiples Calculation'!F25</f>
        <v>32.036448598130839</v>
      </c>
      <c r="D10" s="49">
        <f>'EV &amp; Multiples Calculation'!F26</f>
        <v>127.89821428571427</v>
      </c>
      <c r="E10" s="49">
        <f>'EV &amp; Multiples Calculation'!F27</f>
        <v>2.282077425521746</v>
      </c>
    </row>
    <row r="11" spans="1:5">
      <c r="A11" s="10" t="str">
        <f>'EV &amp; Multiples Calculation'!G3</f>
        <v xml:space="preserve">Brigade Enterprises </v>
      </c>
      <c r="B11" s="49">
        <f>'EV &amp; Multiples Calculation'!G24</f>
        <v>7.3722248464808695</v>
      </c>
      <c r="C11" s="49">
        <f>'EV &amp; Multiples Calculation'!G25</f>
        <v>22.232193732193732</v>
      </c>
      <c r="D11" s="49">
        <f>'EV &amp; Multiples Calculation'!G26</f>
        <v>34.914285714285711</v>
      </c>
      <c r="E11" s="49">
        <f>'EV &amp; Multiples Calculation'!G27</f>
        <v>2.0244679495348539</v>
      </c>
    </row>
    <row r="12" spans="1:5">
      <c r="A12" s="10" t="str">
        <f>'EV &amp; Multiples Calculation'!H3</f>
        <v>Anant Raj Ltd</v>
      </c>
      <c r="B12" s="49">
        <f>'EV &amp; Multiples Calculation'!H24</f>
        <v>13.226013018714399</v>
      </c>
      <c r="C12" s="49">
        <f>'EV &amp; Multiples Calculation'!H25</f>
        <v>56.636829268292672</v>
      </c>
      <c r="D12" s="49">
        <f>'EV &amp; Multiples Calculation'!H26</f>
        <v>73.519497716894975</v>
      </c>
      <c r="E12" s="49" t="str">
        <f>'EV &amp; Multiples Calculation'!H27</f>
        <v>N/A</v>
      </c>
    </row>
    <row r="14" spans="1:5">
      <c r="A14" s="51" t="s">
        <v>76</v>
      </c>
      <c r="B14" s="51" t="s">
        <v>75</v>
      </c>
      <c r="C14" s="51" t="s">
        <v>116</v>
      </c>
      <c r="D14" s="51" t="s">
        <v>74</v>
      </c>
      <c r="E14" s="51" t="s">
        <v>73</v>
      </c>
    </row>
    <row r="15" spans="1:5">
      <c r="A15" s="67" t="s">
        <v>77</v>
      </c>
      <c r="B15" s="78">
        <f>MIN(B7:B12)</f>
        <v>3.371428571428571</v>
      </c>
      <c r="C15" s="78">
        <f>MIN(C7:C12)</f>
        <v>16.938985110908536</v>
      </c>
      <c r="D15" s="78">
        <f>MIN(D7:D12)</f>
        <v>24.01132075471698</v>
      </c>
      <c r="E15" s="78">
        <f>MIN(E7:E12)</f>
        <v>2.0244679495348539</v>
      </c>
    </row>
    <row r="16" spans="1:5">
      <c r="A16" s="15" t="s">
        <v>78</v>
      </c>
      <c r="B16" s="79">
        <f>PERCENTILE(B7:B12,0.25)</f>
        <v>7.3305004018860531</v>
      </c>
      <c r="C16" s="79">
        <f>PERCENTILE(C7:C12,0.25)</f>
        <v>22.769862964760442</v>
      </c>
      <c r="D16" s="79">
        <f>PERCENTILE(D7:D12,0.25)</f>
        <v>36.081997390737115</v>
      </c>
      <c r="E16" s="79">
        <f>PERCENTILE(E7:E12,0.25)</f>
        <v>2.282077425521746</v>
      </c>
    </row>
    <row r="17" spans="1:8">
      <c r="A17" s="67" t="s">
        <v>46</v>
      </c>
      <c r="B17" s="78">
        <f>MEDIAN(B7:B12)</f>
        <v>8.9591165851776271</v>
      </c>
      <c r="C17" s="78">
        <f>MEDIAN(C7:C12)</f>
        <v>28.209659630295704</v>
      </c>
      <c r="D17" s="78">
        <f>MEDIAN(D7:D12)</f>
        <v>56.552315068493151</v>
      </c>
      <c r="E17" s="78">
        <f>MEDIAN(E7:E12)</f>
        <v>3.1626329084180225</v>
      </c>
    </row>
    <row r="18" spans="1:8">
      <c r="A18" s="15" t="s">
        <v>79</v>
      </c>
      <c r="B18" s="79">
        <f>PERCENTILE(B7:B12,0.75)</f>
        <v>12.556011845004395</v>
      </c>
      <c r="C18" s="79">
        <f>PERCENTILE(C7:C12,0.75)</f>
        <v>47.291064396723719</v>
      </c>
      <c r="D18" s="79">
        <f>PERCENTILE(D7:D12,0.75)</f>
        <v>114.30353514350945</v>
      </c>
      <c r="E18" s="79">
        <f>PERCENTILE(E7:E12,0.75)</f>
        <v>4.9172682926829268</v>
      </c>
    </row>
    <row r="19" spans="1:8">
      <c r="A19" s="67" t="s">
        <v>80</v>
      </c>
      <c r="B19" s="78">
        <f>MAX(B7:B12)</f>
        <v>19.47006613296206</v>
      </c>
      <c r="C19" s="78">
        <f>MAX(C7:C12)</f>
        <v>56.636829268292672</v>
      </c>
      <c r="D19" s="78">
        <f>MAX(D7:D12)</f>
        <v>287.90106951871655</v>
      </c>
      <c r="E19" s="78">
        <f>MAX(E7:E12)</f>
        <v>15.55112016293279</v>
      </c>
    </row>
    <row r="20" spans="1:8">
      <c r="A20" s="15" t="s">
        <v>81</v>
      </c>
      <c r="B20" s="77">
        <v>7</v>
      </c>
    </row>
    <row r="22" spans="1:8">
      <c r="A22" s="3" t="s">
        <v>114</v>
      </c>
      <c r="B22" s="3" t="s">
        <v>75</v>
      </c>
      <c r="C22" s="3" t="s">
        <v>116</v>
      </c>
      <c r="D22" s="3" t="s">
        <v>74</v>
      </c>
      <c r="E22" s="3" t="s">
        <v>73</v>
      </c>
      <c r="F22" s="31"/>
      <c r="G22" s="3" t="s">
        <v>26</v>
      </c>
      <c r="H22" s="3" t="s">
        <v>86</v>
      </c>
    </row>
    <row r="23" spans="1:8">
      <c r="A23" s="52" t="s">
        <v>87</v>
      </c>
      <c r="B23" s="80">
        <f>B15*$H$23-$H$27</f>
        <v>14419.901428571427</v>
      </c>
      <c r="C23" s="80">
        <f>C15*$H$24-$H$27</f>
        <v>46521.481504102092</v>
      </c>
      <c r="D23" s="80">
        <f>D15*$H$25</f>
        <v>37937.886792452831</v>
      </c>
      <c r="E23" s="80">
        <f>E15*$H$26</f>
        <v>42965.283292978202</v>
      </c>
      <c r="G23" s="15" t="s">
        <v>82</v>
      </c>
      <c r="H23" s="65">
        <f>Input!B17</f>
        <v>4481</v>
      </c>
    </row>
    <row r="24" spans="1:8">
      <c r="A24" s="52" t="s">
        <v>88</v>
      </c>
      <c r="B24" s="80">
        <f t="shared" ref="B24:B27" si="0">B16*$H$23-$H$27</f>
        <v>32160.502300851404</v>
      </c>
      <c r="C24" s="80">
        <f t="shared" ref="C24:C27" si="1">C16*$H$24-$H$27</f>
        <v>62772.138082787351</v>
      </c>
      <c r="D24" s="80">
        <f t="shared" ref="D24:D27" si="2">D16*$H$25</f>
        <v>57009.555877364641</v>
      </c>
      <c r="E24" s="80">
        <f t="shared" ref="E24:E27" si="3">E16*$H$26</f>
        <v>48432.529201848018</v>
      </c>
      <c r="G24" s="15" t="s">
        <v>20</v>
      </c>
      <c r="H24" s="65">
        <f>Input!B18</f>
        <v>2787</v>
      </c>
    </row>
    <row r="25" spans="1:8">
      <c r="A25" s="52" t="s">
        <v>89</v>
      </c>
      <c r="B25" s="80">
        <f t="shared" si="0"/>
        <v>39458.331418180947</v>
      </c>
      <c r="C25" s="80">
        <f t="shared" si="1"/>
        <v>77932.851389634132</v>
      </c>
      <c r="D25" s="80">
        <f t="shared" si="2"/>
        <v>89352.657808219185</v>
      </c>
      <c r="E25" s="80">
        <f t="shared" si="3"/>
        <v>67120.55821535569</v>
      </c>
      <c r="G25" s="15" t="s">
        <v>83</v>
      </c>
      <c r="H25" s="65">
        <f>Input!B20</f>
        <v>1580</v>
      </c>
    </row>
    <row r="26" spans="1:8">
      <c r="A26" s="52" t="s">
        <v>90</v>
      </c>
      <c r="B26" s="80">
        <f t="shared" si="0"/>
        <v>55576.019077464691</v>
      </c>
      <c r="C26" s="80">
        <f t="shared" si="1"/>
        <v>131112.726473669</v>
      </c>
      <c r="D26" s="80">
        <f t="shared" si="2"/>
        <v>180599.58552674492</v>
      </c>
      <c r="E26" s="80">
        <f t="shared" si="3"/>
        <v>104359.18497560975</v>
      </c>
      <c r="G26" s="15" t="s">
        <v>84</v>
      </c>
      <c r="H26" s="66">
        <f>Input!B23</f>
        <v>21223</v>
      </c>
    </row>
    <row r="27" spans="1:8">
      <c r="A27" s="52" t="s">
        <v>91</v>
      </c>
      <c r="B27" s="80">
        <f t="shared" si="0"/>
        <v>86557.896341802989</v>
      </c>
      <c r="C27" s="80">
        <f t="shared" si="1"/>
        <v>157159.37317073168</v>
      </c>
      <c r="D27" s="80">
        <f t="shared" si="2"/>
        <v>454883.68983957218</v>
      </c>
      <c r="E27" s="80">
        <f t="shared" si="3"/>
        <v>330041.42321792262</v>
      </c>
      <c r="G27" s="15" t="s">
        <v>85</v>
      </c>
      <c r="H27" s="65">
        <f>Input!B14</f>
        <v>687.4699999999998</v>
      </c>
    </row>
    <row r="28" spans="1:8">
      <c r="A28" s="3" t="s">
        <v>92</v>
      </c>
    </row>
    <row r="29" spans="1:8">
      <c r="A29" s="15" t="s">
        <v>68</v>
      </c>
      <c r="B29" s="15" t="s">
        <v>93</v>
      </c>
      <c r="C29" s="69" t="s">
        <v>94</v>
      </c>
      <c r="D29" s="70" t="s">
        <v>95</v>
      </c>
      <c r="E29" s="69" t="s">
        <v>96</v>
      </c>
      <c r="F29" s="54" t="s">
        <v>97</v>
      </c>
      <c r="G29" s="15" t="s">
        <v>98</v>
      </c>
    </row>
    <row r="30" spans="1:8">
      <c r="A30" s="15" t="s">
        <v>75</v>
      </c>
      <c r="B30" s="79">
        <f>B23</f>
        <v>14419.901428571427</v>
      </c>
      <c r="C30" s="81">
        <f>B24-B23</f>
        <v>17740.600872279974</v>
      </c>
      <c r="D30" s="82">
        <f>B26-B24</f>
        <v>23415.516776613287</v>
      </c>
      <c r="E30" s="81">
        <f>B27-B26</f>
        <v>30981.877264338298</v>
      </c>
      <c r="F30" s="71">
        <f>Input!B10</f>
        <v>141834.69</v>
      </c>
      <c r="G30" s="79">
        <f>B25</f>
        <v>39458.331418180947</v>
      </c>
    </row>
    <row r="31" spans="1:8">
      <c r="A31" s="15" t="s">
        <v>116</v>
      </c>
      <c r="B31" s="79">
        <f>C23</f>
        <v>46521.481504102092</v>
      </c>
      <c r="C31" s="81">
        <f>C24-C23</f>
        <v>16250.656578685259</v>
      </c>
      <c r="D31" s="82">
        <f>C26-C24</f>
        <v>68340.588390881647</v>
      </c>
      <c r="E31" s="81">
        <f>C27-C26</f>
        <v>26046.646697062679</v>
      </c>
      <c r="F31" s="71">
        <f>Input!B10</f>
        <v>141834.69</v>
      </c>
      <c r="G31" s="79">
        <f>C25</f>
        <v>77932.851389634132</v>
      </c>
    </row>
    <row r="32" spans="1:8">
      <c r="A32" s="15" t="s">
        <v>74</v>
      </c>
      <c r="B32" s="79">
        <f>D23</f>
        <v>37937.886792452831</v>
      </c>
      <c r="C32" s="81">
        <f>D24-D23</f>
        <v>19071.669084911809</v>
      </c>
      <c r="D32" s="82">
        <f>D26-D24</f>
        <v>123590.02964938027</v>
      </c>
      <c r="E32" s="81">
        <f>D27-D26</f>
        <v>274284.10431282723</v>
      </c>
      <c r="F32" s="71">
        <f>Input!B10</f>
        <v>141834.69</v>
      </c>
      <c r="G32" s="79">
        <f>D25</f>
        <v>89352.657808219185</v>
      </c>
    </row>
    <row r="33" spans="1:7">
      <c r="A33" s="15" t="s">
        <v>73</v>
      </c>
      <c r="B33" s="79">
        <f>E23</f>
        <v>42965.283292978202</v>
      </c>
      <c r="C33" s="81">
        <f>E24-E23</f>
        <v>5467.245908869816</v>
      </c>
      <c r="D33" s="82">
        <f>E26-E24</f>
        <v>55926.655773761733</v>
      </c>
      <c r="E33" s="81">
        <f>E27-E26</f>
        <v>225682.23824231286</v>
      </c>
      <c r="F33" s="71">
        <f>Input!B10</f>
        <v>141834.69</v>
      </c>
      <c r="G33" s="79">
        <f>E25</f>
        <v>67120.55821535569</v>
      </c>
    </row>
    <row r="50" spans="1:21">
      <c r="A50" s="72" t="s">
        <v>117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CC26-886B-9948-9401-1BFC7D00A324}">
  <sheetPr>
    <tabColor theme="2" tint="-0.249977111117893"/>
  </sheetPr>
  <dimension ref="A1:H17"/>
  <sheetViews>
    <sheetView showGridLines="0" zoomScale="132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6" sqref="B26"/>
    </sheetView>
  </sheetViews>
  <sheetFormatPr baseColWidth="10" defaultRowHeight="16"/>
  <cols>
    <col min="1" max="1" width="43.5" style="12" bestFit="1" customWidth="1"/>
    <col min="2" max="2" width="11.5" style="12" bestFit="1" customWidth="1"/>
    <col min="3" max="3" width="16" style="12" bestFit="1" customWidth="1"/>
    <col min="4" max="4" width="18" style="12" bestFit="1" customWidth="1"/>
    <col min="5" max="5" width="21.5" style="12" bestFit="1" customWidth="1"/>
    <col min="6" max="6" width="12" style="12" bestFit="1" customWidth="1"/>
    <col min="7" max="7" width="22" style="12" bestFit="1" customWidth="1"/>
    <col min="8" max="8" width="15" style="12" bestFit="1" customWidth="1"/>
    <col min="9" max="9" width="11.1640625" style="12" bestFit="1" customWidth="1"/>
    <col min="10" max="16384" width="10.83203125" style="12"/>
  </cols>
  <sheetData>
    <row r="1" spans="1:8">
      <c r="A1" s="3" t="s">
        <v>99</v>
      </c>
    </row>
    <row r="2" spans="1:8">
      <c r="A2" s="3" t="s">
        <v>100</v>
      </c>
    </row>
    <row r="3" spans="1:8">
      <c r="A3" s="3" t="s">
        <v>101</v>
      </c>
    </row>
    <row r="5" spans="1:8" ht="19">
      <c r="A5" s="20" t="s">
        <v>102</v>
      </c>
      <c r="B5" s="20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0" t="s">
        <v>34</v>
      </c>
    </row>
    <row r="6" spans="1:8">
      <c r="A6" s="15" t="s">
        <v>103</v>
      </c>
    </row>
    <row r="7" spans="1:8">
      <c r="A7" s="19" t="s">
        <v>104</v>
      </c>
      <c r="B7" s="86">
        <f>Input!B23</f>
        <v>21223</v>
      </c>
      <c r="C7" s="86">
        <f>Input!C23</f>
        <v>3437</v>
      </c>
      <c r="D7" s="86">
        <f>Input!D23</f>
        <v>17023</v>
      </c>
      <c r="E7" s="86">
        <f>Input!E23</f>
        <v>17630</v>
      </c>
      <c r="F7" s="86">
        <f>Input!F23</f>
        <v>6277</v>
      </c>
      <c r="G7" s="86">
        <f>Input!G23</f>
        <v>7847</v>
      </c>
      <c r="H7" s="73" t="str">
        <f>Input!H23</f>
        <v>N/A</v>
      </c>
    </row>
    <row r="8" spans="1:8">
      <c r="A8" s="19" t="s">
        <v>119</v>
      </c>
      <c r="B8" s="89">
        <v>14778</v>
      </c>
      <c r="C8" s="87">
        <v>4007</v>
      </c>
      <c r="D8" s="89">
        <v>21040</v>
      </c>
      <c r="E8" s="89">
        <v>14520</v>
      </c>
      <c r="F8" s="89">
        <v>6644</v>
      </c>
      <c r="G8" s="89">
        <v>6013</v>
      </c>
      <c r="H8" s="88" t="str">
        <f>Input!H24</f>
        <v>N/A</v>
      </c>
    </row>
    <row r="9" spans="1:8">
      <c r="A9" s="12" t="s">
        <v>105</v>
      </c>
      <c r="B9" s="45">
        <f>(B7-B8)/B8</f>
        <v>0.43612126133441603</v>
      </c>
      <c r="C9" s="45">
        <f t="shared" ref="C9:D9" si="0">(C7-C8)/C8</f>
        <v>-0.14225106064387322</v>
      </c>
      <c r="D9" s="45">
        <f t="shared" si="0"/>
        <v>-0.19092205323193917</v>
      </c>
      <c r="E9" s="45">
        <f>(E7-E8)/E8</f>
        <v>0.21418732782369146</v>
      </c>
      <c r="F9" s="45">
        <f t="shared" ref="F9" si="1">(F7-F8)/F8</f>
        <v>-5.5237808549066826E-2</v>
      </c>
      <c r="G9" s="45">
        <f t="shared" ref="G9" si="2">(G7-G8)/G8</f>
        <v>0.30500582072176952</v>
      </c>
      <c r="H9" s="74" t="s">
        <v>108</v>
      </c>
    </row>
    <row r="10" spans="1:8">
      <c r="A10" s="19" t="s">
        <v>106</v>
      </c>
      <c r="B10" s="86">
        <f>Input!B24</f>
        <v>11773</v>
      </c>
      <c r="C10" s="86">
        <f>Input!C24</f>
        <v>2790</v>
      </c>
      <c r="D10" s="86">
        <f>Input!D24</f>
        <v>12084</v>
      </c>
      <c r="E10" s="86">
        <f>Input!E24</f>
        <v>14490</v>
      </c>
      <c r="F10" s="86">
        <f>Input!F24</f>
        <v>6184</v>
      </c>
      <c r="G10" s="86">
        <f>Input!G24</f>
        <v>7250</v>
      </c>
      <c r="H10" s="73" t="str">
        <f>IF(H7="N/A","—",H10/H7)</f>
        <v>—</v>
      </c>
    </row>
    <row r="11" spans="1:8">
      <c r="A11" s="12" t="s">
        <v>25</v>
      </c>
      <c r="B11" s="86">
        <f>Input!B25</f>
        <v>5</v>
      </c>
      <c r="C11" s="86">
        <f>Input!C25</f>
        <v>1.1499999999999999</v>
      </c>
      <c r="D11" s="86">
        <f>Input!D25</f>
        <v>12.58</v>
      </c>
      <c r="E11" s="86">
        <f>Input!E25</f>
        <v>14.4</v>
      </c>
      <c r="F11" s="86">
        <f>Input!F25</f>
        <v>4.68</v>
      </c>
      <c r="G11" s="86">
        <f>Input!G25</f>
        <v>7.05</v>
      </c>
      <c r="H11" s="73" t="str">
        <f>Input!H25</f>
        <v>N/A</v>
      </c>
    </row>
    <row r="12" spans="1:8">
      <c r="A12" s="7" t="s">
        <v>107</v>
      </c>
      <c r="B12" s="83">
        <f t="shared" ref="B12:G12" si="3">IF(B11&gt;0, (B7*10000000)/(B11*1000000), "—")</f>
        <v>42446</v>
      </c>
      <c r="C12" s="83">
        <f t="shared" si="3"/>
        <v>29886.956521739132</v>
      </c>
      <c r="D12" s="83">
        <f t="shared" si="3"/>
        <v>13531.796502384737</v>
      </c>
      <c r="E12" s="83">
        <f t="shared" si="3"/>
        <v>12243.055555555555</v>
      </c>
      <c r="F12" s="83">
        <f t="shared" si="3"/>
        <v>13412.393162393162</v>
      </c>
      <c r="G12" s="83">
        <f t="shared" si="3"/>
        <v>11130.496453900709</v>
      </c>
      <c r="H12" s="75" t="str" cm="1">
        <f t="array" aca="1" ref="H12" ca="1">IF(ISNUMBER(_xleta.CELL), formula, "—")</f>
        <v>—</v>
      </c>
    </row>
    <row r="13" spans="1:8">
      <c r="A13" s="7" t="s">
        <v>109</v>
      </c>
      <c r="B13" s="8">
        <f>IF(B7&gt;0, B7/Input!B10, "—")</f>
        <v>0.14963194124089108</v>
      </c>
      <c r="C13" s="8">
        <f>IF(C7&gt;0, C7/Input!C10, "—")</f>
        <v>6.4304049452564307E-2</v>
      </c>
      <c r="D13" s="8">
        <f>IF(D7&gt;0, D7/Input!D10, "—")</f>
        <v>0.31619224518226141</v>
      </c>
      <c r="E13" s="8">
        <f>IF(E7&gt;0, E7/Input!E10, "—")</f>
        <v>0.2033649458354827</v>
      </c>
      <c r="F13" s="8">
        <f>IF(F7&gt;0, F7/Input!F10, "—")</f>
        <v>0.43819722714770398</v>
      </c>
      <c r="G13" s="8">
        <f>IF(G7&gt;0, G7/Input!G10, "—")</f>
        <v>0.4939569432204457</v>
      </c>
      <c r="H13" s="75" t="str" cm="1">
        <f t="array" aca="1" ref="H13" ca="1">IF(ISNUMBER(_xleta.CELL), formula, "—")</f>
        <v>—</v>
      </c>
    </row>
    <row r="14" spans="1:8">
      <c r="A14" s="7" t="s">
        <v>110</v>
      </c>
      <c r="B14" s="8">
        <f>B7/Input!B15</f>
        <v>0.14891017649465879</v>
      </c>
      <c r="C14" s="8">
        <f>C7/Input!C15</f>
        <v>6.1654426669441147E-2</v>
      </c>
      <c r="D14" s="8">
        <f>D7/Input!D15</f>
        <v>0.30432178770949719</v>
      </c>
      <c r="E14" s="8">
        <f>E7/Input!E15</f>
        <v>0.1900758621552166</v>
      </c>
      <c r="F14" s="8">
        <f>F7/Input!F15</f>
        <v>0.45778756673181836</v>
      </c>
      <c r="G14" s="8">
        <f>G7/Input!G15</f>
        <v>0.50278721086691869</v>
      </c>
      <c r="H14" s="75" t="str">
        <f>IF(H7="N/A","—",H7/Input!H15)</f>
        <v>—</v>
      </c>
    </row>
    <row r="15" spans="1:8">
      <c r="A15" s="7" t="s">
        <v>111</v>
      </c>
      <c r="B15" s="84">
        <f>B10/B7</f>
        <v>0.55472836074070586</v>
      </c>
      <c r="C15" s="84">
        <f t="shared" ref="C15:G15" si="4">C10/C7</f>
        <v>0.8117544370090195</v>
      </c>
      <c r="D15" s="84">
        <f t="shared" si="4"/>
        <v>0.70986312635845616</v>
      </c>
      <c r="E15" s="84">
        <f t="shared" si="4"/>
        <v>0.82189449801474757</v>
      </c>
      <c r="F15" s="84">
        <f t="shared" si="4"/>
        <v>0.98518400509797677</v>
      </c>
      <c r="G15" s="84">
        <f t="shared" si="4"/>
        <v>0.92391996941506305</v>
      </c>
      <c r="H15" s="74" t="str" cm="1">
        <f t="array" aca="1" ref="H15" ca="1">IF(ISNUMBER(_xleta.CELL), formula, "—")</f>
        <v>—</v>
      </c>
    </row>
    <row r="16" spans="1:8">
      <c r="A16" s="68" t="s">
        <v>112</v>
      </c>
      <c r="B16" s="85">
        <f>IF(B7&gt;0, RANK(B7, $B$7:$H$7, 0), "—")</f>
        <v>1</v>
      </c>
      <c r="C16" s="85">
        <f t="shared" ref="C16:G16" si="5">IF(C7&gt;0, RANK(C7, $B$7:$H$7, 0), "—")</f>
        <v>6</v>
      </c>
      <c r="D16" s="85">
        <f t="shared" si="5"/>
        <v>3</v>
      </c>
      <c r="E16" s="85">
        <f t="shared" si="5"/>
        <v>2</v>
      </c>
      <c r="F16" s="85">
        <f t="shared" si="5"/>
        <v>5</v>
      </c>
      <c r="G16" s="85">
        <f t="shared" si="5"/>
        <v>4</v>
      </c>
      <c r="H16" s="76" t="str" cm="1">
        <f t="array" aca="1" ref="H16" ca="1">IF(ISNUMBER(_xleta.CELL), formula, "—")</f>
        <v>—</v>
      </c>
    </row>
    <row r="17" spans="1:8">
      <c r="A17" s="68" t="s">
        <v>113</v>
      </c>
      <c r="B17" s="85">
        <f>IF(B11&gt;0, RANK(B11, $B$11:$H$11, 0), "—")</f>
        <v>4</v>
      </c>
      <c r="C17" s="85">
        <f t="shared" ref="C17:G17" si="6">IF(C11&gt;0, RANK(C11, $B$11:$H$11, 0), "—")</f>
        <v>6</v>
      </c>
      <c r="D17" s="85">
        <f t="shared" si="6"/>
        <v>2</v>
      </c>
      <c r="E17" s="85">
        <f t="shared" si="6"/>
        <v>1</v>
      </c>
      <c r="F17" s="85">
        <f t="shared" si="6"/>
        <v>5</v>
      </c>
      <c r="G17" s="85">
        <f t="shared" si="6"/>
        <v>3</v>
      </c>
      <c r="H17" s="76" t="str" cm="1">
        <f t="array" aca="1" ref="H17" ca="1">IF(ISNUMBER(_xleta.CELL), formula, "—")</f>
        <v>—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 &amp; notes</vt:lpstr>
      <vt:lpstr>Input</vt:lpstr>
      <vt:lpstr>EV &amp; Multiples Calculation</vt:lpstr>
      <vt:lpstr>Benchmarking &amp; Target Valuation</vt:lpstr>
      <vt:lpstr>Football Field Chart</vt:lpstr>
      <vt:lpstr>RE 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paridhisaini</dc:creator>
  <cp:lastModifiedBy>paridhisaini</cp:lastModifiedBy>
  <dcterms:created xsi:type="dcterms:W3CDTF">2026-03-11T08:33:05Z</dcterms:created>
  <dcterms:modified xsi:type="dcterms:W3CDTF">2026-04-03T18:43:57Z</dcterms:modified>
</cp:coreProperties>
</file>