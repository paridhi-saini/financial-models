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idhi/Library/Mobile Documents/com~apple~CloudDocs/modelling /"/>
    </mc:Choice>
  </mc:AlternateContent>
  <xr:revisionPtr revIDLastSave="0" documentId="13_ncr:1_{A5D8D35E-0D4A-1C42-AE1C-10CBFD828DEE}" xr6:coauthVersionLast="47" xr6:coauthVersionMax="47" xr10:uidLastSave="{00000000-0000-0000-0000-000000000000}"/>
  <bookViews>
    <workbookView xWindow="14380" yWindow="680" windowWidth="15020" windowHeight="16480" activeTab="2" xr2:uid="{70122CBF-671D-5A46-A8DA-D82B7338BF7D}"/>
  </bookViews>
  <sheets>
    <sheet name="Sheet1" sheetId="1" r:id="rId1"/>
    <sheet name="assumptions" sheetId="2" r:id="rId2"/>
    <sheet name="FCF" sheetId="10" r:id="rId3"/>
  </sheets>
  <externalReferences>
    <externalReference r:id="rId4"/>
  </externalReferences>
  <definedNames>
    <definedName name="DCF_Share_Price">#REF!</definedName>
    <definedName name="Market_return">assumptions!#REF!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C25" i="2"/>
  <c r="C17" i="10"/>
  <c r="D17" i="10"/>
  <c r="E17" i="10"/>
  <c r="F17" i="10"/>
  <c r="G17" i="10"/>
  <c r="J16" i="2"/>
  <c r="I16" i="2"/>
  <c r="H16" i="2"/>
  <c r="G16" i="2"/>
  <c r="F16" i="2"/>
  <c r="E16" i="2"/>
  <c r="D16" i="2"/>
  <c r="D5" i="10"/>
  <c r="E5" i="10"/>
  <c r="F5" i="10"/>
  <c r="G5" i="10"/>
  <c r="C5" i="10"/>
  <c r="H12" i="2"/>
  <c r="I12" i="2"/>
  <c r="J12" i="2"/>
  <c r="K12" i="2"/>
  <c r="G12" i="2"/>
  <c r="K10" i="2"/>
  <c r="J10" i="2"/>
  <c r="I10" i="2"/>
  <c r="H10" i="2"/>
  <c r="G10" i="2"/>
  <c r="G6" i="2"/>
  <c r="D53" i="10"/>
  <c r="C53" i="10" s="1"/>
  <c r="F53" i="10"/>
  <c r="G53" i="10" s="1"/>
  <c r="H19" i="2"/>
  <c r="I19" i="2" s="1"/>
  <c r="C33" i="2"/>
  <c r="J44" i="10"/>
  <c r="G13" i="2"/>
  <c r="H5" i="2"/>
  <c r="B56" i="10"/>
  <c r="J48" i="10"/>
  <c r="C48" i="10"/>
  <c r="C44" i="10"/>
  <c r="C18" i="10"/>
  <c r="C23" i="2"/>
  <c r="I5" i="2" l="1"/>
  <c r="J5" i="2" s="1"/>
  <c r="K5" i="2" s="1"/>
  <c r="H6" i="2"/>
  <c r="J19" i="2"/>
  <c r="E18" i="10"/>
  <c r="J43" i="10"/>
  <c r="C11" i="10"/>
  <c r="C10" i="10"/>
  <c r="D18" i="10"/>
  <c r="B57" i="10"/>
  <c r="B58" i="10" s="1"/>
  <c r="B55" i="10"/>
  <c r="B54" i="10" s="1"/>
  <c r="C19" i="10"/>
  <c r="C35" i="10" s="1"/>
  <c r="I6" i="2" l="1"/>
  <c r="D19" i="10"/>
  <c r="D35" i="10" s="1"/>
  <c r="E19" i="10"/>
  <c r="E35" i="10" s="1"/>
  <c r="C26" i="2"/>
  <c r="C27" i="2" s="1"/>
  <c r="D11" i="10"/>
  <c r="K19" i="2"/>
  <c r="F18" i="10"/>
  <c r="J49" i="10"/>
  <c r="J38" i="10" s="1"/>
  <c r="J46" i="10"/>
  <c r="C9" i="10"/>
  <c r="C24" i="10"/>
  <c r="D10" i="10"/>
  <c r="J6" i="2" l="1"/>
  <c r="F19" i="10"/>
  <c r="F35" i="10" s="1"/>
  <c r="G18" i="10"/>
  <c r="E11" i="10"/>
  <c r="D9" i="10"/>
  <c r="D24" i="10"/>
  <c r="E10" i="10"/>
  <c r="K6" i="2" l="1"/>
  <c r="E9" i="10"/>
  <c r="E24" i="10"/>
  <c r="G19" i="10"/>
  <c r="F11" i="10"/>
  <c r="F10" i="10"/>
  <c r="D6" i="10"/>
  <c r="D7" i="10" s="1"/>
  <c r="D12" i="10" s="1"/>
  <c r="C6" i="10"/>
  <c r="C7" i="10" s="1"/>
  <c r="C12" i="10" s="1"/>
  <c r="G35" i="10" l="1"/>
  <c r="F9" i="10"/>
  <c r="F24" i="10"/>
  <c r="G10" i="10"/>
  <c r="G11" i="10"/>
  <c r="D25" i="10"/>
  <c r="D33" i="10"/>
  <c r="D37" i="10" s="1"/>
  <c r="C33" i="10"/>
  <c r="C37" i="10" s="1"/>
  <c r="C25" i="10"/>
  <c r="G24" i="10" l="1"/>
  <c r="G28" i="10" s="1"/>
  <c r="G9" i="10"/>
  <c r="F6" i="10"/>
  <c r="F7" i="10" s="1"/>
  <c r="F12" i="10" s="1"/>
  <c r="E6" i="10"/>
  <c r="E7" i="10" s="1"/>
  <c r="E12" i="10" s="1"/>
  <c r="F25" i="10" l="1"/>
  <c r="F33" i="10"/>
  <c r="E33" i="10"/>
  <c r="E37" i="10" s="1"/>
  <c r="E25" i="10"/>
  <c r="G6" i="10"/>
  <c r="G7" i="10" s="1"/>
  <c r="G12" i="10" s="1"/>
  <c r="F37" i="10" l="1"/>
  <c r="G33" i="10"/>
  <c r="G37" i="10" s="1"/>
  <c r="G25" i="10"/>
  <c r="G27" i="10" s="1"/>
  <c r="G29" i="10" s="1"/>
  <c r="G34" i="10" s="1"/>
  <c r="G38" i="10" s="1"/>
  <c r="G40" i="10" l="1"/>
  <c r="C43" i="10" s="1"/>
  <c r="C46" i="10" s="1"/>
  <c r="J39" i="10" s="1"/>
  <c r="C49" i="10" l="1"/>
  <c r="B53" i="10" l="1"/>
  <c r="J40" i="10"/>
</calcChain>
</file>

<file path=xl/sharedStrings.xml><?xml version="1.0" encoding="utf-8"?>
<sst xmlns="http://schemas.openxmlformats.org/spreadsheetml/2006/main" count="90" uniqueCount="79">
  <si>
    <t>2023A</t>
  </si>
  <si>
    <t>2024A</t>
  </si>
  <si>
    <t>2025A</t>
  </si>
  <si>
    <t>2026E</t>
  </si>
  <si>
    <t>2027E</t>
  </si>
  <si>
    <t>2028E</t>
  </si>
  <si>
    <t>2029E</t>
  </si>
  <si>
    <t>2030E</t>
  </si>
  <si>
    <t>Financial Year</t>
  </si>
  <si>
    <t>EBITDA</t>
  </si>
  <si>
    <t>Revenue Growth Rate</t>
  </si>
  <si>
    <t>Shares Outstanding ($mm)</t>
  </si>
  <si>
    <t>Depreciation</t>
  </si>
  <si>
    <t xml:space="preserve">Margin </t>
  </si>
  <si>
    <t xml:space="preserve">DCF &amp; WACC </t>
  </si>
  <si>
    <t>Risk-Free Rate (10-Yr Treasury)</t>
  </si>
  <si>
    <t>Equity Risk Premium</t>
  </si>
  <si>
    <t>Beta (5-Year Monthly vs S&amp;P500)</t>
  </si>
  <si>
    <t>Cost of Equity  [Ke = Rf + β×ERP]</t>
  </si>
  <si>
    <t>Pre-Tax Cost of Debt</t>
  </si>
  <si>
    <t>Weight of Equity (E/V)</t>
  </si>
  <si>
    <t>Weight of Debt   (D/V)</t>
  </si>
  <si>
    <t>WACC  [Ke×E/V + Kd×(1-t)×D/V]</t>
  </si>
  <si>
    <t>Terminal Growth Rate</t>
  </si>
  <si>
    <t>Gross Margin</t>
  </si>
  <si>
    <t>EBIT Margin</t>
  </si>
  <si>
    <t>Revenue Growth</t>
  </si>
  <si>
    <t>Effective Tax Rate</t>
  </si>
  <si>
    <t>Capex</t>
  </si>
  <si>
    <t>Non cash working capital inc/dec</t>
  </si>
  <si>
    <t>FREE CASH FLOW BUILD  ($mm)</t>
  </si>
  <si>
    <t>FY2026E</t>
  </si>
  <si>
    <t>FY2027E</t>
  </si>
  <si>
    <t>FY2028E</t>
  </si>
  <si>
    <t>FY2029E</t>
  </si>
  <si>
    <t>EBIT</t>
  </si>
  <si>
    <t>Less: Taxes on EBIT</t>
  </si>
  <si>
    <t>NOPAT (Net Operating Profit After Tax)</t>
  </si>
  <si>
    <t>Capital Expenditures</t>
  </si>
  <si>
    <t>Change in Working Capital</t>
  </si>
  <si>
    <t>Unlevered Free Cash Flow</t>
  </si>
  <si>
    <t>PV of FCF</t>
  </si>
  <si>
    <t>WACC Calculations  ($mm)</t>
  </si>
  <si>
    <t>E/E+D</t>
  </si>
  <si>
    <t>D/E+D</t>
  </si>
  <si>
    <t>DEBT</t>
  </si>
  <si>
    <t>EQUITY</t>
  </si>
  <si>
    <t>WACC</t>
  </si>
  <si>
    <t>Depreciation &amp; Amortization</t>
  </si>
  <si>
    <t>Terminal Value Calculations  ($mm)</t>
  </si>
  <si>
    <t>EV/EBIDA Multiple</t>
  </si>
  <si>
    <t>FCF</t>
  </si>
  <si>
    <t>Perpetuity Growth TV</t>
  </si>
  <si>
    <t>Average</t>
  </si>
  <si>
    <t>Terminal value</t>
  </si>
  <si>
    <t>Discount factor</t>
  </si>
  <si>
    <t>PV of TV</t>
  </si>
  <si>
    <t>Enterprise Value</t>
  </si>
  <si>
    <t>Intrinsic Value  ($mm)</t>
  </si>
  <si>
    <t>Equity Value</t>
  </si>
  <si>
    <t>Share Price</t>
  </si>
  <si>
    <t>Market Value  ($mm)</t>
  </si>
  <si>
    <t>Market Value</t>
  </si>
  <si>
    <t>Market Cap</t>
  </si>
  <si>
    <t>Equity Value/Share</t>
  </si>
  <si>
    <t>Discounted cashflows  ($mm)</t>
  </si>
  <si>
    <t>Market Value vs Intrinsic Value</t>
  </si>
  <si>
    <t>Upside</t>
  </si>
  <si>
    <t>Intrinsic Value</t>
  </si>
  <si>
    <t xml:space="preserve">Revenue </t>
  </si>
  <si>
    <t xml:space="preserve">Sensitivity Analysis </t>
  </si>
  <si>
    <t>ASSUMPTIONS</t>
  </si>
  <si>
    <t>FY2030E</t>
  </si>
  <si>
    <t>Net Cash ($mm)</t>
  </si>
  <si>
    <t>Net Cash(mm)</t>
  </si>
  <si>
    <t>Net Cash</t>
  </si>
  <si>
    <t>Wacc</t>
  </si>
  <si>
    <t>EV/ EBITDA TV</t>
  </si>
  <si>
    <t>WC as % of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</si>
</sst>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-0.0%;\-"/>
    <numFmt numFmtId="166" formatCode="#,##0;\(#,##0\);\-"/>
    <numFmt numFmtId="167" formatCode="&quot;FY&quot;\,0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  <family val="2"/>
    </font>
    <font>
      <sz val="11"/>
      <color rgb="FF1F1F1F"/>
      <name val="Calibri"/>
      <family val="2"/>
      <scheme val="minor"/>
    </font>
    <font>
      <b/>
      <sz val="12"/>
      <color theme="1"/>
      <name val="Helvetica"/>
      <family val="2"/>
    </font>
    <font>
      <sz val="12"/>
      <color rgb="FF171717"/>
      <name val="Helvetica"/>
      <family val="2"/>
    </font>
    <font>
      <sz val="12"/>
      <color rgb="FF008456"/>
      <name val="Helvetica"/>
      <family val="2"/>
    </font>
    <font>
      <sz val="11"/>
      <color theme="1"/>
      <name val="Helvetica"/>
      <family val="2"/>
    </font>
    <font>
      <sz val="11"/>
      <color rgb="FF7F7F7F"/>
      <name val="Calibri"/>
      <family val="2"/>
    </font>
    <font>
      <b/>
      <sz val="2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4"/>
      <color rgb="FF000000"/>
      <name val="-webkit-standard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1" fillId="0" borderId="1">
      <protection locked="0"/>
    </xf>
  </cellStyleXfs>
  <cellXfs count="56">
    <xf numFmtId="0" fontId="0" fillId="0" borderId="0" xfId="0"/>
    <xf numFmtId="0" fontId="4" fillId="2" borderId="0" xfId="0" applyFont="1" applyFill="1"/>
    <xf numFmtId="0" fontId="3" fillId="0" borderId="0" xfId="0" applyFont="1"/>
    <xf numFmtId="0" fontId="0" fillId="2" borderId="0" xfId="0" applyFill="1"/>
    <xf numFmtId="0" fontId="6" fillId="0" borderId="0" xfId="0" applyFont="1" applyAlignment="1">
      <alignment vertical="center" wrapText="1" readingOrder="1"/>
    </xf>
    <xf numFmtId="2" fontId="0" fillId="0" borderId="0" xfId="0" applyNumberFormat="1"/>
    <xf numFmtId="2" fontId="3" fillId="3" borderId="0" xfId="0" applyNumberFormat="1" applyFont="1" applyFill="1"/>
    <xf numFmtId="2" fontId="3" fillId="0" borderId="0" xfId="0" applyNumberFormat="1" applyFont="1"/>
    <xf numFmtId="2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0" fontId="10" fillId="0" borderId="0" xfId="0" applyNumberFormat="1" applyFont="1"/>
    <xf numFmtId="37" fontId="0" fillId="0" borderId="0" xfId="0" applyNumberFormat="1"/>
    <xf numFmtId="37" fontId="5" fillId="0" borderId="0" xfId="0" applyNumberFormat="1" applyFont="1"/>
    <xf numFmtId="37" fontId="7" fillId="0" borderId="0" xfId="0" applyNumberFormat="1" applyFont="1"/>
    <xf numFmtId="0" fontId="0" fillId="0" borderId="0" xfId="0" applyAlignment="1">
      <alignment vertical="center"/>
    </xf>
    <xf numFmtId="0" fontId="12" fillId="2" borderId="0" xfId="0" applyFont="1" applyFill="1"/>
    <xf numFmtId="9" fontId="0" fillId="0" borderId="0" xfId="0" applyNumberFormat="1"/>
    <xf numFmtId="10" fontId="0" fillId="0" borderId="0" xfId="1" applyNumberFormat="1" applyFont="1" applyFill="1"/>
    <xf numFmtId="9" fontId="0" fillId="0" borderId="0" xfId="1" applyFont="1" applyFill="1"/>
    <xf numFmtId="0" fontId="15" fillId="0" borderId="2" xfId="0" applyFont="1" applyBorder="1" applyAlignment="1">
      <alignment horizontal="left" vertical="center"/>
    </xf>
    <xf numFmtId="165" fontId="16" fillId="0" borderId="2" xfId="0" applyNumberFormat="1" applyFont="1" applyBorder="1" applyAlignment="1">
      <alignment horizontal="right" vertical="center"/>
    </xf>
    <xf numFmtId="0" fontId="17" fillId="0" borderId="2" xfId="0" applyFont="1" applyBorder="1" applyAlignment="1">
      <alignment horizontal="left" vertical="center"/>
    </xf>
    <xf numFmtId="165" fontId="15" fillId="0" borderId="2" xfId="0" applyNumberFormat="1" applyFont="1" applyBorder="1" applyAlignment="1">
      <alignment horizontal="right" vertical="center"/>
    </xf>
    <xf numFmtId="165" fontId="17" fillId="0" borderId="2" xfId="0" applyNumberFormat="1" applyFont="1" applyBorder="1" applyAlignment="1">
      <alignment horizontal="right" vertical="center"/>
    </xf>
    <xf numFmtId="166" fontId="16" fillId="0" borderId="2" xfId="0" applyNumberFormat="1" applyFont="1" applyBorder="1" applyAlignment="1">
      <alignment horizontal="right" vertical="center"/>
    </xf>
    <xf numFmtId="10" fontId="18" fillId="2" borderId="0" xfId="0" applyNumberFormat="1" applyFont="1" applyFill="1" applyAlignment="1">
      <alignment vertical="center" wrapText="1" readingOrder="1"/>
    </xf>
    <xf numFmtId="10" fontId="4" fillId="2" borderId="0" xfId="1" applyNumberFormat="1" applyFont="1" applyFill="1"/>
    <xf numFmtId="10" fontId="4" fillId="2" borderId="0" xfId="0" applyNumberFormat="1" applyFont="1" applyFill="1"/>
    <xf numFmtId="2" fontId="5" fillId="0" borderId="0" xfId="0" applyNumberFormat="1" applyFont="1"/>
    <xf numFmtId="9" fontId="5" fillId="0" borderId="0" xfId="1" applyFont="1"/>
    <xf numFmtId="2" fontId="13" fillId="0" borderId="0" xfId="0" applyNumberFormat="1" applyFont="1"/>
    <xf numFmtId="10" fontId="3" fillId="3" borderId="0" xfId="1" applyNumberFormat="1" applyFont="1" applyFill="1"/>
    <xf numFmtId="2" fontId="16" fillId="0" borderId="2" xfId="0" applyNumberFormat="1" applyFont="1" applyBorder="1" applyAlignment="1">
      <alignment horizontal="right" vertical="center"/>
    </xf>
    <xf numFmtId="37" fontId="2" fillId="0" borderId="0" xfId="0" applyNumberFormat="1" applyFont="1" applyAlignment="1">
      <alignment horizontal="center"/>
    </xf>
    <xf numFmtId="2" fontId="12" fillId="2" borderId="0" xfId="0" applyNumberFormat="1" applyFont="1" applyFill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9" fillId="2" borderId="0" xfId="0" applyNumberFormat="1" applyFont="1" applyFill="1"/>
    <xf numFmtId="2" fontId="2" fillId="0" borderId="0" xfId="0" applyNumberFormat="1" applyFont="1" applyAlignment="1">
      <alignment horizontal="center"/>
    </xf>
    <xf numFmtId="2" fontId="14" fillId="0" borderId="0" xfId="0" applyNumberFormat="1" applyFont="1" applyAlignment="1">
      <alignment vertical="center" wrapText="1"/>
    </xf>
    <xf numFmtId="2" fontId="9" fillId="0" borderId="0" xfId="1" applyNumberFormat="1" applyFont="1" applyFill="1"/>
    <xf numFmtId="2" fontId="8" fillId="0" borderId="0" xfId="1" applyNumberFormat="1" applyFont="1"/>
    <xf numFmtId="2" fontId="0" fillId="4" borderId="0" xfId="0" applyNumberFormat="1" applyFill="1"/>
    <xf numFmtId="10" fontId="3" fillId="3" borderId="0" xfId="0" applyNumberFormat="1" applyFont="1" applyFill="1"/>
    <xf numFmtId="2" fontId="12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2" fontId="20" fillId="0" borderId="0" xfId="0" applyNumberFormat="1" applyFont="1"/>
    <xf numFmtId="2" fontId="21" fillId="0" borderId="0" xfId="0" applyNumberFormat="1" applyFont="1"/>
    <xf numFmtId="0" fontId="20" fillId="0" borderId="0" xfId="0" applyFont="1"/>
    <xf numFmtId="2" fontId="12" fillId="0" borderId="0" xfId="0" applyNumberFormat="1" applyFont="1"/>
    <xf numFmtId="2" fontId="3" fillId="5" borderId="0" xfId="0" applyNumberFormat="1" applyFont="1" applyFill="1"/>
    <xf numFmtId="0" fontId="22" fillId="0" borderId="0" xfId="0" applyFont="1"/>
    <xf numFmtId="166" fontId="16" fillId="0" borderId="3" xfId="0" applyNumberFormat="1" applyFont="1" applyFill="1" applyBorder="1" applyAlignment="1">
      <alignment horizontal="right" vertical="center"/>
    </xf>
    <xf numFmtId="0" fontId="23" fillId="0" borderId="0" xfId="0" applyFont="1"/>
    <xf numFmtId="165" fontId="24" fillId="0" borderId="2" xfId="0" applyNumberFormat="1" applyFont="1" applyBorder="1" applyAlignment="1">
      <alignment horizontal="right" vertical="center"/>
    </xf>
    <xf numFmtId="2" fontId="5" fillId="0" borderId="0" xfId="1" applyNumberFormat="1" applyFont="1"/>
  </cellXfs>
  <cellStyles count="3">
    <cellStyle name="GivenData" xfId="2" xr:uid="{557BE397-DBE8-B441-884D-D07A6E3EE118}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3D1F3"/>
      <color rgb="FF941651"/>
      <color rgb="FFA09EDD"/>
      <color rgb="FFF7D6E1"/>
      <color rgb="FFF7D4E6"/>
      <color rgb="FFF7D0CB"/>
      <color rgb="FFF7CEEE"/>
      <color rgb="FFFFD9FF"/>
      <color rgb="FFFBB2E7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ridhi/Library/Mobile%20Documents/com~apple~CloudDocs/modelling%20/3%20statement%20model%20of%20tesla.xlsx" TargetMode="External"/><Relationship Id="rId1" Type="http://schemas.openxmlformats.org/officeDocument/2006/relationships/externalLinkPath" Target="3%20statement%20model%20of%20tes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ssumptions"/>
      <sheetName val="income statement"/>
      <sheetName val="Balance Sheet"/>
      <sheetName val="Cash Flow"/>
      <sheetName val="Debt Schedule"/>
      <sheetName val="Dep Capex Schedule"/>
      <sheetName val="Working Capital Schedule"/>
    </sheetNames>
    <sheetDataSet>
      <sheetData sheetId="0" refreshError="1"/>
      <sheetData sheetId="1" refreshError="1"/>
      <sheetData sheetId="2">
        <row r="14">
          <cell r="F14">
            <v>7696.0640105004422</v>
          </cell>
          <cell r="G14">
            <v>8311.7491313404716</v>
          </cell>
          <cell r="H14">
            <v>9059.8065531611264</v>
          </cell>
          <cell r="I14">
            <v>9965.7872084772316</v>
          </cell>
          <cell r="J14">
            <v>11062.023801409725</v>
          </cell>
        </row>
      </sheetData>
      <sheetData sheetId="3" refreshError="1"/>
      <sheetData sheetId="4" refreshError="1"/>
      <sheetData sheetId="5" refreshError="1"/>
      <sheetData sheetId="6">
        <row r="10">
          <cell r="C10">
            <v>10844</v>
          </cell>
          <cell r="D10">
            <v>11479</v>
          </cell>
          <cell r="E10">
            <v>10955</v>
          </cell>
          <cell r="F10">
            <v>10146.489000000001</v>
          </cell>
          <cell r="G10">
            <v>10958.208120000001</v>
          </cell>
          <cell r="H10">
            <v>11944.446850800001</v>
          </cell>
          <cell r="I10">
            <v>13138.89153588</v>
          </cell>
          <cell r="J10">
            <v>14584.1696048268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568E-7D42-A948-B203-728D02B904BE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9BA1-FF08-204A-B056-CDA021E7C91F}">
  <sheetPr>
    <tabColor rgb="FF00B0F0"/>
  </sheetPr>
  <dimension ref="B1:AG35"/>
  <sheetViews>
    <sheetView zoomScale="133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C25" sqref="C25"/>
    </sheetView>
  </sheetViews>
  <sheetFormatPr baseColWidth="10" defaultRowHeight="16"/>
  <cols>
    <col min="1" max="1" width="10.83203125" customWidth="1"/>
    <col min="2" max="2" width="48" bestFit="1" customWidth="1"/>
    <col min="3" max="3" width="12.1640625" bestFit="1" customWidth="1"/>
    <col min="6" max="6" width="11.33203125" bestFit="1" customWidth="1"/>
    <col min="7" max="7" width="13.33203125" bestFit="1" customWidth="1"/>
    <col min="9" max="9" width="9.83203125" bestFit="1" customWidth="1"/>
  </cols>
  <sheetData>
    <row r="1" spans="2:11" ht="28" customHeight="1">
      <c r="B1" s="44" t="s">
        <v>71</v>
      </c>
    </row>
    <row r="2" spans="2:11" s="3" customFormat="1">
      <c r="B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4" spans="2:11" s="1" customFormat="1">
      <c r="B4" s="1" t="s">
        <v>26</v>
      </c>
    </row>
    <row r="5" spans="2:11" s="10" customFormat="1">
      <c r="B5" s="10" t="s">
        <v>10</v>
      </c>
      <c r="D5" s="9">
        <v>0.188</v>
      </c>
      <c r="E5" s="9">
        <v>9.4757835346635944E-3</v>
      </c>
      <c r="F5" s="9">
        <v>-2.9306991503736307E-2</v>
      </c>
      <c r="G5" s="9">
        <v>7.0000000000000007E-2</v>
      </c>
      <c r="H5" s="9">
        <f>G5+1%</f>
        <v>0.08</v>
      </c>
      <c r="I5" s="9">
        <f t="shared" ref="I5:K5" si="0">H5+1%</f>
        <v>0.09</v>
      </c>
      <c r="J5" s="9">
        <f t="shared" si="0"/>
        <v>9.9999999999999992E-2</v>
      </c>
      <c r="K5" s="9">
        <f t="shared" si="0"/>
        <v>0.10999999999999999</v>
      </c>
    </row>
    <row r="6" spans="2:11" s="9" customFormat="1">
      <c r="B6" s="11" t="s">
        <v>69</v>
      </c>
      <c r="D6" s="29">
        <v>96773</v>
      </c>
      <c r="E6" s="29">
        <v>97690</v>
      </c>
      <c r="F6" s="29">
        <v>94827</v>
      </c>
      <c r="G6" s="8">
        <f>F6*(1+G5)</f>
        <v>101464.89</v>
      </c>
      <c r="H6" s="8">
        <f t="shared" ref="H6:K6" si="1">G6*(1+H5)</f>
        <v>109582.0812</v>
      </c>
      <c r="I6" s="8">
        <f t="shared" si="1"/>
        <v>119444.46850800001</v>
      </c>
      <c r="J6" s="8">
        <f t="shared" si="1"/>
        <v>131388.9153588</v>
      </c>
      <c r="K6" s="8">
        <f t="shared" si="1"/>
        <v>145841.696048268</v>
      </c>
    </row>
    <row r="7" spans="2:11">
      <c r="B7" t="s">
        <v>12</v>
      </c>
      <c r="D7" s="5">
        <v>4667</v>
      </c>
      <c r="E7" s="5">
        <v>5368</v>
      </c>
      <c r="F7" s="5">
        <v>6148</v>
      </c>
      <c r="G7" s="5">
        <v>5682.3533294496783</v>
      </c>
      <c r="H7" s="5">
        <v>6136.9415958056525</v>
      </c>
      <c r="I7" s="5">
        <v>6689.2663394281617</v>
      </c>
      <c r="J7" s="5">
        <v>7358.1929733709776</v>
      </c>
      <c r="K7" s="5">
        <v>8167.5942004417848</v>
      </c>
    </row>
    <row r="8" spans="2:11">
      <c r="B8" t="s">
        <v>9</v>
      </c>
      <c r="D8" s="5">
        <v>13558</v>
      </c>
      <c r="E8" s="5">
        <v>12444</v>
      </c>
      <c r="F8" s="5">
        <v>10503</v>
      </c>
      <c r="G8" s="5">
        <v>13378.41733995012</v>
      </c>
      <c r="H8" s="5">
        <v>14448.690727146124</v>
      </c>
      <c r="I8" s="5">
        <v>15749.072892589287</v>
      </c>
      <c r="J8" s="5">
        <v>17323.980181848208</v>
      </c>
      <c r="K8" s="5">
        <v>19229.618001851508</v>
      </c>
    </row>
    <row r="9" spans="2:11" s="27" customFormat="1">
      <c r="B9" s="26" t="s">
        <v>13</v>
      </c>
    </row>
    <row r="10" spans="2:11" s="9" customFormat="1">
      <c r="B10" s="4" t="s">
        <v>35</v>
      </c>
      <c r="D10" s="30"/>
      <c r="E10" s="30"/>
      <c r="F10" s="30"/>
      <c r="G10" s="55">
        <f>'[1]income statement'!$F$14</f>
        <v>7696.0640105004422</v>
      </c>
      <c r="H10" s="55">
        <f>'[1]income statement'!$G$14</f>
        <v>8311.7491313404716</v>
      </c>
      <c r="I10" s="55">
        <f>'[1]income statement'!$H$14</f>
        <v>9059.8065531611264</v>
      </c>
      <c r="J10" s="55">
        <f>'[1]income statement'!$I$14</f>
        <v>9965.7872084772316</v>
      </c>
      <c r="K10" s="55">
        <f>'[1]income statement'!$J$14</f>
        <v>11062.023801409725</v>
      </c>
    </row>
    <row r="11" spans="2:11" s="9" customFormat="1">
      <c r="B11" s="4" t="s">
        <v>24</v>
      </c>
      <c r="D11" s="30">
        <v>0.18</v>
      </c>
      <c r="E11" s="30">
        <v>0.18</v>
      </c>
      <c r="F11" s="30">
        <v>0.18</v>
      </c>
      <c r="G11" s="30">
        <v>0.18</v>
      </c>
      <c r="H11" s="30">
        <v>0.18</v>
      </c>
      <c r="I11" s="30">
        <v>0.18</v>
      </c>
      <c r="J11" s="30">
        <v>0.18</v>
      </c>
      <c r="K11" s="30">
        <v>0.18</v>
      </c>
    </row>
    <row r="12" spans="2:11">
      <c r="B12" s="29" t="s">
        <v>25</v>
      </c>
      <c r="D12" s="10">
        <v>9.1874799789197395E-2</v>
      </c>
      <c r="E12" s="10">
        <v>7.2433207083631893E-2</v>
      </c>
      <c r="F12" s="10">
        <v>4.5925738450019508E-2</v>
      </c>
      <c r="G12" s="10">
        <f>G10/G6</f>
        <v>7.584952795494522E-2</v>
      </c>
      <c r="H12" s="10">
        <f t="shared" ref="H12:K12" si="2">H10/H6</f>
        <v>7.5849527954945165E-2</v>
      </c>
      <c r="I12" s="10">
        <f t="shared" si="2"/>
        <v>7.5849527954945276E-2</v>
      </c>
      <c r="J12" s="10">
        <f t="shared" si="2"/>
        <v>7.584952795494522E-2</v>
      </c>
      <c r="K12" s="10">
        <f t="shared" si="2"/>
        <v>7.5849527954945206E-2</v>
      </c>
    </row>
    <row r="13" spans="2:11">
      <c r="B13" s="20" t="s">
        <v>27</v>
      </c>
      <c r="D13" s="30">
        <v>-0.50145392559911761</v>
      </c>
      <c r="E13" s="30">
        <v>0.20433815350389323</v>
      </c>
      <c r="F13" s="30">
        <v>0.21</v>
      </c>
      <c r="G13" s="30">
        <f>F13</f>
        <v>0.21</v>
      </c>
      <c r="H13" s="30">
        <v>0.21</v>
      </c>
      <c r="I13" s="30">
        <v>0.21</v>
      </c>
      <c r="J13" s="30">
        <v>0.21</v>
      </c>
      <c r="K13" s="30">
        <v>0.21</v>
      </c>
    </row>
    <row r="14" spans="2:11" s="28" customFormat="1">
      <c r="B14" s="26" t="s">
        <v>14</v>
      </c>
    </row>
    <row r="15" spans="2:11">
      <c r="B15" t="s">
        <v>78</v>
      </c>
      <c r="C15" s="10">
        <v>1.4999999999999999E-2</v>
      </c>
      <c r="D15" s="5"/>
      <c r="E15" s="5"/>
      <c r="F15" s="5"/>
      <c r="G15" s="5"/>
      <c r="H15" s="5"/>
      <c r="I15" s="5"/>
      <c r="J15" s="5"/>
      <c r="K15" s="5"/>
    </row>
    <row r="16" spans="2:11">
      <c r="B16" t="s">
        <v>28</v>
      </c>
      <c r="D16" s="39">
        <f>'[1]Dep Capex Schedule'!$C$10</f>
        <v>10844</v>
      </c>
      <c r="E16" s="39">
        <f>'[1]Dep Capex Schedule'!$D$10</f>
        <v>11479</v>
      </c>
      <c r="F16" s="39">
        <f>'[1]Dep Capex Schedule'!$E$10</f>
        <v>10955</v>
      </c>
      <c r="G16" s="39">
        <f>'[1]Dep Capex Schedule'!$F$10</f>
        <v>10146.489000000001</v>
      </c>
      <c r="H16" s="39">
        <f>'[1]Dep Capex Schedule'!$G$10</f>
        <v>10958.208120000001</v>
      </c>
      <c r="I16" s="39">
        <f>'[1]Dep Capex Schedule'!$H$10</f>
        <v>11944.446850800001</v>
      </c>
      <c r="J16" s="39">
        <f>'[1]Dep Capex Schedule'!$I$10</f>
        <v>13138.89153588</v>
      </c>
      <c r="K16" s="39">
        <f>'[1]Dep Capex Schedule'!$J$10</f>
        <v>14584.1696048268</v>
      </c>
    </row>
    <row r="17" spans="2:33">
      <c r="B17" t="s">
        <v>29</v>
      </c>
      <c r="D17" s="5"/>
      <c r="E17" s="40"/>
      <c r="F17" s="41"/>
      <c r="G17" s="5"/>
      <c r="H17" s="5"/>
      <c r="I17" s="5"/>
      <c r="J17" s="5"/>
      <c r="K17" s="5"/>
    </row>
    <row r="18" spans="2:33">
      <c r="B18" t="s">
        <v>46</v>
      </c>
      <c r="D18" s="5"/>
      <c r="E18" s="5"/>
      <c r="F18" s="8"/>
      <c r="G18" s="5">
        <v>1200000</v>
      </c>
      <c r="H18" s="5">
        <v>1200000</v>
      </c>
      <c r="I18" s="5">
        <v>1200000</v>
      </c>
      <c r="J18" s="5">
        <v>1200000</v>
      </c>
      <c r="K18" s="5">
        <v>1200000</v>
      </c>
    </row>
    <row r="19" spans="2:33">
      <c r="B19" t="s">
        <v>45</v>
      </c>
      <c r="D19" s="5"/>
      <c r="E19" s="5"/>
      <c r="F19" s="8"/>
      <c r="G19" s="5">
        <v>7500</v>
      </c>
      <c r="H19" s="5">
        <f>G19-500</f>
        <v>7000</v>
      </c>
      <c r="I19" s="5">
        <f t="shared" ref="I19:K19" si="3">H19-500</f>
        <v>6500</v>
      </c>
      <c r="J19" s="5">
        <f t="shared" si="3"/>
        <v>6000</v>
      </c>
      <c r="K19" s="5">
        <f t="shared" si="3"/>
        <v>5500</v>
      </c>
    </row>
    <row r="20" spans="2:33">
      <c r="B20" s="20" t="s">
        <v>15</v>
      </c>
      <c r="C20" s="21">
        <v>4.2999999999999997E-2</v>
      </c>
      <c r="F20" s="9"/>
    </row>
    <row r="21" spans="2:33">
      <c r="B21" s="20" t="s">
        <v>16</v>
      </c>
      <c r="C21" s="21">
        <v>4.4999999999999998E-2</v>
      </c>
      <c r="F21" s="15"/>
    </row>
    <row r="22" spans="2:33">
      <c r="B22" s="20" t="s">
        <v>17</v>
      </c>
      <c r="C22" s="33">
        <v>1.93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2:33">
      <c r="B23" s="22" t="s">
        <v>18</v>
      </c>
      <c r="C23" s="23">
        <f>C20+C22*C21</f>
        <v>0.12984999999999999</v>
      </c>
      <c r="F23" s="15"/>
      <c r="G23" s="10"/>
    </row>
    <row r="24" spans="2:33">
      <c r="B24" s="20" t="s">
        <v>19</v>
      </c>
      <c r="C24" s="21">
        <v>5.5E-2</v>
      </c>
      <c r="F24" s="15"/>
    </row>
    <row r="25" spans="2:33">
      <c r="B25" s="20" t="s">
        <v>20</v>
      </c>
      <c r="C25" s="54">
        <f>C33/(C33+G19)</f>
        <v>0.99410527352709777</v>
      </c>
      <c r="F25" s="18"/>
    </row>
    <row r="26" spans="2:33">
      <c r="B26" s="22" t="s">
        <v>21</v>
      </c>
      <c r="C26" s="23">
        <f>1-C25</f>
        <v>5.8947264729022342E-3</v>
      </c>
      <c r="F26" s="18"/>
    </row>
    <row r="27" spans="2:33">
      <c r="B27" s="22" t="s">
        <v>22</v>
      </c>
      <c r="C27" s="24">
        <f>C23*C25+C24*(1-F13)*C26</f>
        <v>0.12934069563274123</v>
      </c>
      <c r="D27" s="13"/>
      <c r="E27" s="13"/>
      <c r="F27" s="13"/>
      <c r="G27" s="12"/>
      <c r="H27" s="12"/>
      <c r="I27" s="12"/>
      <c r="J27" s="12"/>
      <c r="K27" s="12"/>
    </row>
    <row r="28" spans="2:33">
      <c r="B28" s="20" t="s">
        <v>23</v>
      </c>
      <c r="C28" s="21">
        <v>2.5000000000000001E-2</v>
      </c>
      <c r="D28" s="13"/>
      <c r="E28" s="13"/>
      <c r="F28" s="13"/>
      <c r="G28" s="12"/>
      <c r="H28" s="12"/>
      <c r="I28" s="12"/>
      <c r="J28" s="12"/>
      <c r="K28" s="12"/>
    </row>
    <row r="29" spans="2:33">
      <c r="B29" s="20" t="s">
        <v>50</v>
      </c>
      <c r="C29" s="25">
        <v>20</v>
      </c>
    </row>
    <row r="30" spans="2:33">
      <c r="B30" s="20" t="s">
        <v>11</v>
      </c>
      <c r="C30" s="25">
        <v>3503.6666666666665</v>
      </c>
    </row>
    <row r="31" spans="2:33">
      <c r="B31" s="20" t="s">
        <v>73</v>
      </c>
      <c r="C31" s="25">
        <v>72163</v>
      </c>
      <c r="D31" s="13"/>
      <c r="E31" s="13"/>
      <c r="F31" s="13"/>
      <c r="G31" s="12"/>
      <c r="H31" s="12"/>
      <c r="I31" s="12"/>
      <c r="J31" s="12"/>
      <c r="K31" s="12"/>
    </row>
    <row r="32" spans="2:33">
      <c r="B32" s="13" t="s">
        <v>60</v>
      </c>
      <c r="C32" s="52">
        <v>361</v>
      </c>
      <c r="D32" s="13"/>
      <c r="E32" s="13"/>
      <c r="F32" s="13"/>
      <c r="G32" s="12"/>
      <c r="H32" s="12"/>
      <c r="I32" s="12"/>
      <c r="J32" s="12"/>
      <c r="K32" s="12"/>
    </row>
    <row r="33" spans="2:11" ht="18">
      <c r="B33" s="53" t="s">
        <v>63</v>
      </c>
      <c r="C33">
        <f>C32*C30</f>
        <v>1264823.6666666665</v>
      </c>
    </row>
    <row r="34" spans="2:11">
      <c r="B34" s="14"/>
      <c r="D34" s="14"/>
      <c r="E34" s="14"/>
      <c r="F34" s="14"/>
    </row>
    <row r="35" spans="2:11">
      <c r="B35" s="14"/>
      <c r="D35" s="19"/>
      <c r="E35" s="19"/>
      <c r="F35" s="19"/>
      <c r="G35" s="17"/>
      <c r="H35" s="17"/>
      <c r="I35" s="17"/>
      <c r="J35" s="17"/>
      <c r="K3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1D33-07D3-794A-8FFF-3826B21F2B38}">
  <sheetPr>
    <tabColor rgb="FF002060"/>
  </sheetPr>
  <dimension ref="B3:N61"/>
  <sheetViews>
    <sheetView showGridLines="0" tabSelected="1" zoomScale="113" zoomScaleNormal="113" workbookViewId="0">
      <pane xSplit="2" ySplit="3" topLeftCell="C23" activePane="bottomRight" state="frozen"/>
      <selection pane="topRight" activeCell="C1" sqref="C1"/>
      <selection pane="bottomLeft" activeCell="A4" sqref="A4"/>
      <selection pane="bottomRight" activeCell="B31" sqref="B31"/>
    </sheetView>
  </sheetViews>
  <sheetFormatPr baseColWidth="10" defaultRowHeight="16"/>
  <cols>
    <col min="1" max="1" width="2.5" customWidth="1"/>
    <col min="2" max="2" width="52.33203125" bestFit="1" customWidth="1"/>
    <col min="3" max="7" width="13.1640625" bestFit="1" customWidth="1"/>
    <col min="9" max="9" width="42.1640625" bestFit="1" customWidth="1"/>
    <col min="10" max="10" width="12.6640625" bestFit="1" customWidth="1"/>
  </cols>
  <sheetData>
    <row r="3" spans="2:12" s="48" customFormat="1" ht="26">
      <c r="B3" s="16" t="s">
        <v>8</v>
      </c>
      <c r="C3" s="45" t="s">
        <v>31</v>
      </c>
      <c r="D3" s="44" t="s">
        <v>32</v>
      </c>
      <c r="E3" s="44" t="s">
        <v>33</v>
      </c>
      <c r="F3" s="44" t="s">
        <v>34</v>
      </c>
      <c r="G3" s="44" t="s">
        <v>72</v>
      </c>
      <c r="H3" s="46"/>
      <c r="I3" s="49"/>
      <c r="J3" s="49"/>
      <c r="K3" s="47"/>
      <c r="L3" s="46"/>
    </row>
    <row r="4" spans="2:12" s="2" customFormat="1" ht="26">
      <c r="B4" s="35" t="s">
        <v>30</v>
      </c>
      <c r="C4" s="36"/>
      <c r="D4" s="36"/>
      <c r="E4" s="36"/>
      <c r="F4" s="36"/>
      <c r="G4" s="36"/>
      <c r="H4" s="7"/>
      <c r="I4" s="5"/>
      <c r="J4" s="5"/>
      <c r="K4" s="7"/>
      <c r="L4" s="7"/>
    </row>
    <row r="5" spans="2:12">
      <c r="B5" s="5" t="s">
        <v>35</v>
      </c>
      <c r="C5" s="5">
        <f>assumptions!G10</f>
        <v>7696.0640105004422</v>
      </c>
      <c r="D5" s="5">
        <f>assumptions!H10</f>
        <v>8311.7491313404716</v>
      </c>
      <c r="E5" s="5">
        <f>assumptions!I10</f>
        <v>9059.8065531611264</v>
      </c>
      <c r="F5" s="5">
        <f>assumptions!J10</f>
        <v>9965.7872084772316</v>
      </c>
      <c r="G5" s="5">
        <f>assumptions!K10</f>
        <v>11062.023801409725</v>
      </c>
      <c r="H5" s="5"/>
      <c r="I5" s="5"/>
      <c r="J5" s="5"/>
      <c r="K5" s="5"/>
      <c r="L5" s="5"/>
    </row>
    <row r="6" spans="2:12">
      <c r="B6" s="5" t="s">
        <v>36</v>
      </c>
      <c r="C6" s="5">
        <f>C5*assumptions!G13</f>
        <v>1616.1734422050929</v>
      </c>
      <c r="D6" s="5">
        <f>D5*assumptions!H13</f>
        <v>1745.4673175814989</v>
      </c>
      <c r="E6" s="5">
        <f>E5*assumptions!I13</f>
        <v>1902.5593761638365</v>
      </c>
      <c r="F6" s="5">
        <f>F5*assumptions!J13</f>
        <v>2092.8153137802187</v>
      </c>
      <c r="G6" s="5">
        <f>G5*assumptions!K13</f>
        <v>2323.0249982960422</v>
      </c>
      <c r="H6" s="5"/>
      <c r="I6" s="5"/>
      <c r="J6" s="5"/>
      <c r="K6" s="5"/>
      <c r="L6" s="5"/>
    </row>
    <row r="7" spans="2:12">
      <c r="B7" s="5" t="s">
        <v>37</v>
      </c>
      <c r="C7" s="5">
        <f>C5-C6</f>
        <v>6079.8905682953491</v>
      </c>
      <c r="D7" s="5">
        <f t="shared" ref="D7:G7" si="0">D5-D6</f>
        <v>6566.2818137589729</v>
      </c>
      <c r="E7" s="5">
        <f t="shared" si="0"/>
        <v>7157.2471769972899</v>
      </c>
      <c r="F7" s="5">
        <f t="shared" si="0"/>
        <v>7872.9718946970133</v>
      </c>
      <c r="G7" s="5">
        <f t="shared" si="0"/>
        <v>8738.9988031136818</v>
      </c>
      <c r="H7" s="5"/>
      <c r="I7" s="5"/>
      <c r="J7" s="5"/>
      <c r="K7" s="5"/>
      <c r="L7" s="5"/>
    </row>
    <row r="8" spans="2:12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>
      <c r="B9" s="5" t="s">
        <v>48</v>
      </c>
      <c r="C9" s="31">
        <f>assumptions!G7</f>
        <v>5682.3533294496783</v>
      </c>
      <c r="D9" s="31">
        <f>assumptions!H7</f>
        <v>6136.9415958056525</v>
      </c>
      <c r="E9" s="31">
        <f>assumptions!I7</f>
        <v>6689.2663394281617</v>
      </c>
      <c r="F9" s="31">
        <f>assumptions!J7</f>
        <v>7358.1929733709776</v>
      </c>
      <c r="G9" s="31">
        <f>assumptions!K7</f>
        <v>8167.5942004417848</v>
      </c>
      <c r="H9" s="5"/>
      <c r="I9" s="5"/>
      <c r="J9" s="5"/>
      <c r="K9" s="5"/>
      <c r="L9" s="5"/>
    </row>
    <row r="10" spans="2:12">
      <c r="B10" s="5" t="s">
        <v>38</v>
      </c>
      <c r="C10" s="5">
        <f>assumptions!G16</f>
        <v>10146.489000000001</v>
      </c>
      <c r="D10" s="5">
        <f>assumptions!H16</f>
        <v>10958.208120000001</v>
      </c>
      <c r="E10" s="5">
        <f>assumptions!I16</f>
        <v>11944.446850800001</v>
      </c>
      <c r="F10" s="5">
        <f>assumptions!J16</f>
        <v>13138.89153588</v>
      </c>
      <c r="G10" s="5">
        <f>assumptions!K16</f>
        <v>14584.1696048268</v>
      </c>
      <c r="H10" s="5"/>
      <c r="I10" s="5"/>
      <c r="J10" s="5"/>
      <c r="K10" s="5"/>
      <c r="L10" s="5"/>
    </row>
    <row r="11" spans="2:12" ht="17">
      <c r="B11" s="5" t="s">
        <v>39</v>
      </c>
      <c r="C11" s="51">
        <f>(assumptions!G6-assumptions!F6)*assumptions!$C$15</f>
        <v>99.568349999999981</v>
      </c>
      <c r="D11" s="51">
        <f>(assumptions!H6-assumptions!G6)*assumptions!$C$15</f>
        <v>121.75786800000002</v>
      </c>
      <c r="E11" s="51">
        <f>(assumptions!I6-assumptions!H6)*assumptions!$C$15</f>
        <v>147.93580962000007</v>
      </c>
      <c r="F11" s="51">
        <f>(assumptions!J6-assumptions!I6)*assumptions!$C$15</f>
        <v>179.16670276199997</v>
      </c>
      <c r="G11" s="51">
        <f>(assumptions!K6-assumptions!J6)*assumptions!$C$15</f>
        <v>216.79171034201994</v>
      </c>
      <c r="H11" s="5"/>
      <c r="I11" s="5"/>
      <c r="J11" s="5"/>
      <c r="K11" s="5"/>
      <c r="L11" s="5"/>
    </row>
    <row r="12" spans="2:12" s="2" customFormat="1">
      <c r="B12" s="6" t="s">
        <v>40</v>
      </c>
      <c r="C12" s="6">
        <f>C7+C9-C10+C11</f>
        <v>1715.323247745026</v>
      </c>
      <c r="D12" s="6">
        <f>D7+D9-D10+D11</f>
        <v>1866.7731575646242</v>
      </c>
      <c r="E12" s="6">
        <f>E7+E9-E10+E11</f>
        <v>2050.0024752454506</v>
      </c>
      <c r="F12" s="6">
        <f>F7+F9-F10+F11</f>
        <v>2271.4400349499897</v>
      </c>
      <c r="G12" s="6">
        <f>G7+G9-G10+G11</f>
        <v>2539.2151090706861</v>
      </c>
      <c r="H12" s="7"/>
      <c r="I12" s="7"/>
      <c r="J12" s="7"/>
      <c r="K12" s="7"/>
      <c r="L12" s="7"/>
    </row>
    <row r="13" spans="2:1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26">
      <c r="B15" s="35" t="s">
        <v>42</v>
      </c>
      <c r="C15" s="36"/>
      <c r="D15" s="36"/>
      <c r="E15" s="36"/>
      <c r="F15" s="36"/>
      <c r="G15" s="36"/>
      <c r="H15" s="5"/>
      <c r="I15" s="5"/>
      <c r="J15" s="5"/>
      <c r="K15" s="5"/>
      <c r="L15" s="5"/>
    </row>
    <row r="16" spans="2:1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>
      <c r="B17" s="5" t="s">
        <v>43</v>
      </c>
      <c r="C17" s="9">
        <f>assumptions!G18/(assumptions!G18+assumptions!G19)</f>
        <v>0.99378881987577639</v>
      </c>
      <c r="D17" s="9">
        <f>assumptions!H18/(assumptions!H18+assumptions!H19)</f>
        <v>0.9942004971002486</v>
      </c>
      <c r="E17" s="9">
        <f>assumptions!I18/(assumptions!I18+assumptions!I19)</f>
        <v>0.99461251554082053</v>
      </c>
      <c r="F17" s="9">
        <f>assumptions!J18/(assumptions!J18+assumptions!J19)</f>
        <v>0.99502487562189057</v>
      </c>
      <c r="G17" s="9">
        <f>assumptions!K18/(assumptions!K18+assumptions!K19)</f>
        <v>0.99543757776856079</v>
      </c>
      <c r="H17" s="5"/>
      <c r="I17" s="5"/>
      <c r="J17" s="5"/>
      <c r="K17" s="5"/>
      <c r="L17" s="5"/>
    </row>
    <row r="18" spans="2:12">
      <c r="B18" s="5" t="s">
        <v>44</v>
      </c>
      <c r="C18" s="9">
        <f>assumptions!G19/(assumptions!G18+assumptions!G19)</f>
        <v>6.2111801242236021E-3</v>
      </c>
      <c r="D18" s="9">
        <f>assumptions!H19/(assumptions!H18+assumptions!H19)</f>
        <v>5.7995028997514502E-3</v>
      </c>
      <c r="E18" s="9">
        <f>assumptions!I19/(assumptions!I18+assumptions!I19)</f>
        <v>5.387484459179445E-3</v>
      </c>
      <c r="F18" s="9">
        <f>assumptions!J19/(assumptions!J18+assumptions!J19)</f>
        <v>4.9751243781094526E-3</v>
      </c>
      <c r="G18" s="9">
        <f>assumptions!K19/(assumptions!K18+assumptions!K19)</f>
        <v>4.5624222314392367E-3</v>
      </c>
      <c r="H18" s="5"/>
      <c r="I18" s="5"/>
      <c r="J18" s="5"/>
      <c r="K18" s="5"/>
      <c r="L18" s="5"/>
    </row>
    <row r="19" spans="2:12" s="2" customFormat="1">
      <c r="B19" s="6" t="s">
        <v>47</v>
      </c>
      <c r="C19" s="32">
        <f>C17*assumptions!$C23+FCF!C18*assumptions!$C24*(1-assumptions!$F13)</f>
        <v>0.12931335403726707</v>
      </c>
      <c r="D19" s="32">
        <f>D17*assumptions!$C23+FCF!D18*assumptions!$C24*(1-assumptions!$F13)</f>
        <v>0.12934892294946146</v>
      </c>
      <c r="E19" s="32">
        <f>E17*assumptions!$C23+FCF!E18*assumptions!$C24*(1-assumptions!$F13)</f>
        <v>0.12938452134272688</v>
      </c>
      <c r="F19" s="32">
        <f>F17*assumptions!$C23+FCF!F18*assumptions!$C24*(1-assumptions!$F13)</f>
        <v>0.12942014925373135</v>
      </c>
      <c r="G19" s="32">
        <f>G17*assumptions!$C23+FCF!G18*assumptions!$C24*(1-assumptions!$F13)</f>
        <v>0.12945580671920365</v>
      </c>
      <c r="H19" s="7"/>
      <c r="I19" s="7"/>
      <c r="J19" s="7"/>
      <c r="K19" s="7"/>
      <c r="L19" s="7"/>
    </row>
    <row r="20" spans="2:1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26">
      <c r="B22" s="35" t="s">
        <v>49</v>
      </c>
      <c r="C22" s="36"/>
      <c r="D22" s="36"/>
      <c r="E22" s="36"/>
      <c r="F22" s="36"/>
      <c r="G22" s="36"/>
      <c r="H22" s="5"/>
      <c r="I22" s="5"/>
      <c r="J22" s="5"/>
      <c r="K22" s="5"/>
      <c r="L22" s="5"/>
    </row>
    <row r="23" spans="2:12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>
      <c r="B24" s="5" t="s">
        <v>9</v>
      </c>
      <c r="C24" s="5">
        <f>assumptions!G8</f>
        <v>13378.41733995012</v>
      </c>
      <c r="D24" s="5">
        <f>assumptions!H8</f>
        <v>14448.690727146124</v>
      </c>
      <c r="E24" s="5">
        <f>assumptions!I8</f>
        <v>15749.072892589287</v>
      </c>
      <c r="F24" s="5">
        <f>assumptions!J8</f>
        <v>17323.980181848208</v>
      </c>
      <c r="G24" s="5">
        <f>assumptions!K8</f>
        <v>19229.618001851508</v>
      </c>
      <c r="H24" s="5"/>
      <c r="I24" s="5"/>
      <c r="J24" s="5"/>
      <c r="K24" s="5"/>
      <c r="L24" s="5"/>
    </row>
    <row r="25" spans="2:12">
      <c r="B25" s="5" t="s">
        <v>51</v>
      </c>
      <c r="C25" s="5">
        <f>C12</f>
        <v>1715.323247745026</v>
      </c>
      <c r="D25" s="5">
        <f t="shared" ref="D25:G25" si="1">D12</f>
        <v>1866.7731575646242</v>
      </c>
      <c r="E25" s="5">
        <f t="shared" si="1"/>
        <v>2050.0024752454506</v>
      </c>
      <c r="F25" s="5">
        <f t="shared" si="1"/>
        <v>2271.4400349499897</v>
      </c>
      <c r="G25" s="5">
        <f t="shared" si="1"/>
        <v>2539.2151090706861</v>
      </c>
      <c r="H25" s="5"/>
      <c r="I25" s="5"/>
      <c r="J25" s="5"/>
      <c r="K25" s="5"/>
      <c r="L25" s="5"/>
    </row>
    <row r="26" spans="2:12"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</row>
    <row r="27" spans="2:12">
      <c r="B27" s="5" t="s">
        <v>52</v>
      </c>
      <c r="C27" s="5"/>
      <c r="D27" s="5"/>
      <c r="E27" s="5"/>
      <c r="G27" s="5">
        <f>(G25*(1+assumptions!C28))/(FCF!G19-assumptions!C28)</f>
        <v>24916.71424063552</v>
      </c>
      <c r="H27" s="5"/>
      <c r="I27" s="5"/>
      <c r="J27" s="5"/>
      <c r="K27" s="5"/>
      <c r="L27" s="5"/>
    </row>
    <row r="28" spans="2:12">
      <c r="B28" s="5" t="s">
        <v>77</v>
      </c>
      <c r="C28" s="5"/>
      <c r="D28" s="5"/>
      <c r="E28" s="5"/>
      <c r="G28" s="5">
        <f>G24*assumptions!C29</f>
        <v>384592.36003703019</v>
      </c>
      <c r="H28" s="5"/>
      <c r="I28" s="5"/>
      <c r="J28" s="5"/>
      <c r="K28" s="5"/>
      <c r="L28" s="5"/>
    </row>
    <row r="29" spans="2:12" s="2" customFormat="1">
      <c r="B29" s="6" t="s">
        <v>53</v>
      </c>
      <c r="C29" s="7"/>
      <c r="D29" s="7"/>
      <c r="E29" s="7"/>
      <c r="G29" s="6">
        <f>AVERAGE(G27:G28)</f>
        <v>204754.53713883285</v>
      </c>
      <c r="H29" s="7"/>
      <c r="I29" s="7"/>
      <c r="J29" s="7"/>
      <c r="K29" s="7"/>
      <c r="L29" s="7"/>
    </row>
    <row r="30" spans="2:1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ht="26">
      <c r="B31" s="35" t="s">
        <v>65</v>
      </c>
      <c r="C31" s="36"/>
      <c r="D31" s="36"/>
      <c r="E31" s="36"/>
      <c r="F31" s="36"/>
      <c r="G31" s="36"/>
      <c r="H31" s="5"/>
      <c r="I31" s="5"/>
      <c r="J31" s="5"/>
      <c r="K31" s="5"/>
      <c r="L31" s="5"/>
    </row>
    <row r="32" spans="2:1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4">
      <c r="B33" s="5" t="s">
        <v>51</v>
      </c>
      <c r="C33" s="5">
        <f>C12</f>
        <v>1715.323247745026</v>
      </c>
      <c r="D33" s="5">
        <f t="shared" ref="D33:G33" si="2">D12</f>
        <v>1866.7731575646242</v>
      </c>
      <c r="E33" s="5">
        <f t="shared" si="2"/>
        <v>2050.0024752454506</v>
      </c>
      <c r="F33" s="5">
        <f t="shared" si="2"/>
        <v>2271.4400349499897</v>
      </c>
      <c r="G33" s="5">
        <f t="shared" si="2"/>
        <v>2539.2151090706861</v>
      </c>
      <c r="H33" s="5"/>
      <c r="I33" s="5"/>
      <c r="J33" s="5"/>
      <c r="K33" s="5"/>
      <c r="L33" s="5"/>
    </row>
    <row r="34" spans="2:14">
      <c r="B34" s="5" t="s">
        <v>54</v>
      </c>
      <c r="C34" s="5"/>
      <c r="D34" s="5"/>
      <c r="E34" s="5"/>
      <c r="F34" s="5"/>
      <c r="G34" s="5">
        <f>G29</f>
        <v>204754.53713883285</v>
      </c>
      <c r="H34" s="5"/>
      <c r="I34" s="5"/>
      <c r="J34" s="5"/>
      <c r="K34" s="5"/>
      <c r="L34" s="5"/>
    </row>
    <row r="35" spans="2:14">
      <c r="B35" s="5" t="s">
        <v>55</v>
      </c>
      <c r="C35" s="9">
        <f>1/(1+C19)^1</f>
        <v>0.88549382368057983</v>
      </c>
      <c r="D35" s="9">
        <f>1/(1+D19)^2</f>
        <v>0.78404992204434554</v>
      </c>
      <c r="E35" s="9">
        <f>1/(1+E19)^3</f>
        <v>0.69418385078976186</v>
      </c>
      <c r="F35" s="9">
        <f>1/(1+F19)^4</f>
        <v>0.6145792233140478</v>
      </c>
      <c r="G35" s="9">
        <f>1/(1+G19)^5</f>
        <v>0.54406875690185308</v>
      </c>
      <c r="H35" s="5"/>
      <c r="I35" s="5"/>
      <c r="J35" s="5"/>
      <c r="K35" s="5"/>
      <c r="L35" s="5"/>
    </row>
    <row r="36" spans="2:1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4" ht="24">
      <c r="B37" s="5" t="s">
        <v>41</v>
      </c>
      <c r="C37" s="5">
        <f>C33*C35</f>
        <v>1518.9081414939337</v>
      </c>
      <c r="D37" s="5">
        <f t="shared" ref="D37:G37" si="3">D33*D35</f>
        <v>1463.6433486630203</v>
      </c>
      <c r="E37" s="5">
        <f t="shared" si="3"/>
        <v>1423.0786123944304</v>
      </c>
      <c r="F37" s="5">
        <f t="shared" si="3"/>
        <v>1395.9798524839982</v>
      </c>
      <c r="G37" s="5">
        <f t="shared" si="3"/>
        <v>1381.5076078984914</v>
      </c>
      <c r="H37" s="5"/>
      <c r="I37" s="37" t="s">
        <v>66</v>
      </c>
      <c r="J37" s="37"/>
      <c r="K37" s="5"/>
      <c r="L37" s="5"/>
    </row>
    <row r="38" spans="2:14">
      <c r="B38" s="5" t="s">
        <v>56</v>
      </c>
      <c r="C38" s="5"/>
      <c r="D38" s="5"/>
      <c r="E38" s="5"/>
      <c r="F38" s="5"/>
      <c r="G38" s="5">
        <f>G34*G35</f>
        <v>111400.5464911391</v>
      </c>
      <c r="H38" s="5"/>
      <c r="I38" s="5" t="s">
        <v>62</v>
      </c>
      <c r="J38" s="5">
        <f>J49</f>
        <v>360.99999999999994</v>
      </c>
      <c r="L38" s="5"/>
    </row>
    <row r="39" spans="2:14">
      <c r="B39" s="5"/>
      <c r="C39" s="5"/>
      <c r="D39" s="5"/>
      <c r="E39" s="5"/>
      <c r="F39" s="5"/>
      <c r="G39" s="5"/>
      <c r="H39" s="5"/>
      <c r="I39" s="5" t="s">
        <v>67</v>
      </c>
      <c r="J39" s="9">
        <f>(C46-J46)/J46</f>
        <v>-0.84006627418410185</v>
      </c>
      <c r="L39" s="5"/>
    </row>
    <row r="40" spans="2:14" s="2" customFormat="1">
      <c r="B40" s="6" t="s">
        <v>57</v>
      </c>
      <c r="C40" s="6"/>
      <c r="D40" s="6"/>
      <c r="E40" s="6"/>
      <c r="F40" s="6"/>
      <c r="G40" s="6">
        <f>SUM(C37:G38)</f>
        <v>118583.66405407297</v>
      </c>
      <c r="H40" s="7"/>
      <c r="I40" s="5" t="s">
        <v>68</v>
      </c>
      <c r="J40" s="5">
        <f>C49</f>
        <v>54.44201238342869</v>
      </c>
      <c r="L40" s="7"/>
    </row>
    <row r="41" spans="2:14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4" ht="26">
      <c r="B42" s="35" t="s">
        <v>58</v>
      </c>
      <c r="C42" s="36"/>
      <c r="D42" s="36"/>
      <c r="E42" s="36"/>
      <c r="F42" s="36"/>
      <c r="G42" s="36"/>
      <c r="H42" s="5"/>
      <c r="I42" s="35" t="s">
        <v>61</v>
      </c>
      <c r="J42" s="36"/>
      <c r="K42" s="38"/>
      <c r="L42" s="38"/>
      <c r="M42" s="34"/>
      <c r="N42" s="34"/>
    </row>
    <row r="43" spans="2:14">
      <c r="B43" s="5" t="s">
        <v>57</v>
      </c>
      <c r="C43" s="5">
        <f>G40</f>
        <v>118583.66405407297</v>
      </c>
      <c r="D43" s="5"/>
      <c r="E43" s="5"/>
      <c r="F43" s="5"/>
      <c r="G43" s="5"/>
      <c r="H43" s="5"/>
      <c r="I43" s="5" t="s">
        <v>63</v>
      </c>
      <c r="J43" s="5">
        <f>assumptions!C33</f>
        <v>1264823.6666666665</v>
      </c>
      <c r="K43" s="5"/>
      <c r="L43" s="5"/>
    </row>
    <row r="44" spans="2:14">
      <c r="B44" s="5" t="s">
        <v>74</v>
      </c>
      <c r="C44" s="5">
        <f>assumptions!C31</f>
        <v>72163</v>
      </c>
      <c r="D44" s="5"/>
      <c r="E44" s="5"/>
      <c r="F44" s="5"/>
      <c r="G44" s="5"/>
      <c r="H44" s="5"/>
      <c r="I44" s="5" t="s">
        <v>75</v>
      </c>
      <c r="J44" s="5">
        <f>assumptions!C31</f>
        <v>72163</v>
      </c>
      <c r="K44" s="5"/>
      <c r="L44" s="5"/>
    </row>
    <row r="45" spans="2:14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4">
      <c r="B46" s="7" t="s">
        <v>59</v>
      </c>
      <c r="C46" s="7">
        <f>C43+C44</f>
        <v>190746.66405407299</v>
      </c>
      <c r="D46" s="5"/>
      <c r="E46" s="5"/>
      <c r="F46" s="5"/>
      <c r="G46" s="5"/>
      <c r="H46" s="5"/>
      <c r="I46" s="7" t="s">
        <v>57</v>
      </c>
      <c r="J46" s="7">
        <f>J43-J44</f>
        <v>1192660.6666666665</v>
      </c>
      <c r="K46" s="5"/>
      <c r="L46" s="5"/>
    </row>
    <row r="47" spans="2:1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4">
      <c r="B48" s="5" t="s">
        <v>11</v>
      </c>
      <c r="C48" s="5">
        <f>assumptions!C30</f>
        <v>3503.6666666666665</v>
      </c>
      <c r="D48" s="5"/>
      <c r="E48" s="5"/>
      <c r="F48" s="5"/>
      <c r="G48" s="5"/>
      <c r="H48" s="5"/>
      <c r="I48" s="5" t="s">
        <v>11</v>
      </c>
      <c r="J48" s="5">
        <f>assumptions!C30</f>
        <v>3503.6666666666665</v>
      </c>
      <c r="K48" s="5"/>
      <c r="L48" s="5"/>
    </row>
    <row r="49" spans="2:12">
      <c r="B49" s="6" t="s">
        <v>60</v>
      </c>
      <c r="C49" s="6">
        <f>C46/C48</f>
        <v>54.44201238342869</v>
      </c>
      <c r="D49" s="5"/>
      <c r="E49" s="5"/>
      <c r="F49" s="5"/>
      <c r="G49" s="5"/>
      <c r="H49" s="5"/>
      <c r="I49" s="6" t="s">
        <v>64</v>
      </c>
      <c r="J49" s="6">
        <f>J43/J48</f>
        <v>360.99999999999994</v>
      </c>
      <c r="K49" s="5"/>
      <c r="L49" s="5"/>
    </row>
    <row r="50" spans="2:1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ht="26">
      <c r="B51" s="35" t="s">
        <v>70</v>
      </c>
      <c r="C51" s="36"/>
      <c r="D51" s="36"/>
      <c r="E51" s="36"/>
      <c r="F51" s="36"/>
      <c r="G51" s="36"/>
      <c r="H51" s="5"/>
      <c r="I51" s="5"/>
      <c r="J51" s="5"/>
      <c r="K51" s="5"/>
      <c r="L51" s="5"/>
    </row>
    <row r="52" spans="2:1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>
      <c r="B53" s="50">
        <f>C49</f>
        <v>54.44201238342869</v>
      </c>
      <c r="C53" s="32">
        <f>D53-0.5%</f>
        <v>0.12</v>
      </c>
      <c r="D53" s="32">
        <f>E53-0.5%</f>
        <v>0.125</v>
      </c>
      <c r="E53" s="32">
        <v>0.13</v>
      </c>
      <c r="F53" s="32">
        <f>E53+0.5%</f>
        <v>0.13500000000000001</v>
      </c>
      <c r="G53" s="32">
        <f>F53+0.5%</f>
        <v>0.14000000000000001</v>
      </c>
      <c r="H53" s="9"/>
    </row>
    <row r="54" spans="2:12">
      <c r="B54" s="43">
        <f>B55-0.5%</f>
        <v>1.4999999999999999E-2</v>
      </c>
      <c r="C54" s="42">
        <f t="dataTable" ref="C54:G58" dt2D="1" dtr="1" r1="H60" r2="H61"/>
        <v>54.44201238342869</v>
      </c>
      <c r="D54" s="42">
        <v>54.44201238342869</v>
      </c>
      <c r="E54" s="42">
        <v>54.44201238342869</v>
      </c>
      <c r="F54" s="42">
        <v>54.44201238342869</v>
      </c>
      <c r="G54" s="42">
        <v>54.44201238342869</v>
      </c>
    </row>
    <row r="55" spans="2:12">
      <c r="B55" s="43">
        <f>B56-0.5%</f>
        <v>0.02</v>
      </c>
      <c r="C55" s="42">
        <v>54.44201238342869</v>
      </c>
      <c r="D55" s="42">
        <v>54.44201238342869</v>
      </c>
      <c r="E55" s="42">
        <v>54.44201238342869</v>
      </c>
      <c r="F55" s="42">
        <v>54.44201238342869</v>
      </c>
      <c r="G55" s="42">
        <v>54.44201238342869</v>
      </c>
    </row>
    <row r="56" spans="2:12">
      <c r="B56" s="32">
        <f>assumptions!C28</f>
        <v>2.5000000000000001E-2</v>
      </c>
      <c r="C56" s="42">
        <v>54.44201238342869</v>
      </c>
      <c r="D56" s="42">
        <v>54.44201238342869</v>
      </c>
      <c r="E56" s="6">
        <v>54.44201238342869</v>
      </c>
      <c r="F56" s="42">
        <v>54.44201238342869</v>
      </c>
      <c r="G56" s="42">
        <v>54.44201238342869</v>
      </c>
    </row>
    <row r="57" spans="2:12">
      <c r="B57" s="43">
        <f>B56+0.5%</f>
        <v>3.0000000000000002E-2</v>
      </c>
      <c r="C57" s="42">
        <v>54.44201238342869</v>
      </c>
      <c r="D57" s="42">
        <v>54.44201238342869</v>
      </c>
      <c r="E57" s="42">
        <v>54.44201238342869</v>
      </c>
      <c r="F57" s="42">
        <v>54.44201238342869</v>
      </c>
      <c r="G57" s="42">
        <v>54.44201238342869</v>
      </c>
    </row>
    <row r="58" spans="2:12">
      <c r="B58" s="43">
        <f>B57+0.5%</f>
        <v>3.5000000000000003E-2</v>
      </c>
      <c r="C58" s="42">
        <v>54.44201238342869</v>
      </c>
      <c r="D58" s="42">
        <v>54.44201238342869</v>
      </c>
      <c r="E58" s="42">
        <v>54.44201238342869</v>
      </c>
      <c r="F58" s="42">
        <v>54.44201238342869</v>
      </c>
      <c r="G58" s="42">
        <v>54.44201238342869</v>
      </c>
    </row>
    <row r="60" spans="2:12">
      <c r="G60" t="s">
        <v>76</v>
      </c>
      <c r="H60" s="17">
        <v>0.129</v>
      </c>
    </row>
    <row r="61" spans="2:12">
      <c r="G61" t="s">
        <v>23</v>
      </c>
      <c r="H61" s="10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assumptions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paridhisaini</dc:creator>
  <cp:lastModifiedBy>paridhisaini</cp:lastModifiedBy>
  <dcterms:created xsi:type="dcterms:W3CDTF">2026-03-04T12:03:00Z</dcterms:created>
  <dcterms:modified xsi:type="dcterms:W3CDTF">2026-04-01T15:56:28Z</dcterms:modified>
</cp:coreProperties>
</file>